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rganization\1_RoboWalker\Admin\train\main\02_electrical_plus\03_observer\02_luenberger\"/>
    </mc:Choice>
  </mc:AlternateContent>
  <xr:revisionPtr revIDLastSave="0" documentId="13_ncr:1_{0F003E8F-0602-49BA-9728-BB0BBBF6DED1}" xr6:coauthVersionLast="47" xr6:coauthVersionMax="47" xr10:uidLastSave="{00000000-0000-0000-0000-000000000000}"/>
  <bookViews>
    <workbookView xWindow="-110" yWindow="-110" windowWidth="25820" windowHeight="15500" xr2:uid="{F7F14C6F-7D20-44F5-8411-8EC3D5E5EF3C}"/>
  </bookViews>
  <sheets>
    <sheet name="恒力" sheetId="1" r:id="rId1"/>
    <sheet name="正弦力" sheetId="4" r:id="rId2"/>
    <sheet name="方波力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4" i="5" l="1"/>
  <c r="J13" i="5"/>
  <c r="H12" i="5"/>
  <c r="I12" i="5" s="1"/>
  <c r="G12" i="5"/>
  <c r="F12" i="5"/>
  <c r="J15" i="1"/>
  <c r="J16" i="1" s="1"/>
  <c r="J14" i="1"/>
  <c r="J13" i="1"/>
  <c r="G12" i="1"/>
  <c r="F12" i="1"/>
  <c r="J14" i="4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3" i="4"/>
  <c r="D12" i="1"/>
  <c r="E12" i="1" s="1"/>
  <c r="B112" i="5"/>
  <c r="D112" i="5" s="1"/>
  <c r="B111" i="5"/>
  <c r="D111" i="5" s="1"/>
  <c r="B110" i="5"/>
  <c r="D110" i="5" s="1"/>
  <c r="B109" i="5"/>
  <c r="D109" i="5" s="1"/>
  <c r="B108" i="5"/>
  <c r="D108" i="5" s="1"/>
  <c r="D107" i="5"/>
  <c r="B107" i="5"/>
  <c r="B106" i="5"/>
  <c r="D106" i="5" s="1"/>
  <c r="B105" i="5"/>
  <c r="D105" i="5" s="1"/>
  <c r="B104" i="5"/>
  <c r="D104" i="5" s="1"/>
  <c r="B103" i="5"/>
  <c r="D103" i="5" s="1"/>
  <c r="D102" i="5"/>
  <c r="B102" i="5"/>
  <c r="B101" i="5"/>
  <c r="D101" i="5" s="1"/>
  <c r="B100" i="5"/>
  <c r="D100" i="5" s="1"/>
  <c r="D99" i="5"/>
  <c r="B99" i="5"/>
  <c r="D98" i="5"/>
  <c r="B98" i="5"/>
  <c r="B97" i="5"/>
  <c r="D97" i="5" s="1"/>
  <c r="B96" i="5"/>
  <c r="D96" i="5" s="1"/>
  <c r="B95" i="5"/>
  <c r="D95" i="5" s="1"/>
  <c r="B94" i="5"/>
  <c r="D94" i="5" s="1"/>
  <c r="B93" i="5"/>
  <c r="D93" i="5" s="1"/>
  <c r="B92" i="5"/>
  <c r="D92" i="5" s="1"/>
  <c r="B91" i="5"/>
  <c r="D91" i="5" s="1"/>
  <c r="B90" i="5"/>
  <c r="D90" i="5" s="1"/>
  <c r="D89" i="5"/>
  <c r="B89" i="5"/>
  <c r="B88" i="5"/>
  <c r="D88" i="5" s="1"/>
  <c r="B87" i="5"/>
  <c r="D87" i="5" s="1"/>
  <c r="B86" i="5"/>
  <c r="D86" i="5" s="1"/>
  <c r="B85" i="5"/>
  <c r="D85" i="5" s="1"/>
  <c r="B84" i="5"/>
  <c r="D84" i="5" s="1"/>
  <c r="B83" i="5"/>
  <c r="D83" i="5" s="1"/>
  <c r="B82" i="5"/>
  <c r="D82" i="5" s="1"/>
  <c r="B81" i="5"/>
  <c r="D81" i="5" s="1"/>
  <c r="B80" i="5"/>
  <c r="D80" i="5" s="1"/>
  <c r="B79" i="5"/>
  <c r="D79" i="5" s="1"/>
  <c r="D78" i="5"/>
  <c r="B78" i="5"/>
  <c r="B77" i="5"/>
  <c r="D77" i="5" s="1"/>
  <c r="B76" i="5"/>
  <c r="D76" i="5" s="1"/>
  <c r="D75" i="5"/>
  <c r="B75" i="5"/>
  <c r="B74" i="5"/>
  <c r="D74" i="5" s="1"/>
  <c r="B73" i="5"/>
  <c r="D73" i="5" s="1"/>
  <c r="B72" i="5"/>
  <c r="D72" i="5" s="1"/>
  <c r="B71" i="5"/>
  <c r="D71" i="5" s="1"/>
  <c r="B70" i="5"/>
  <c r="D70" i="5" s="1"/>
  <c r="B69" i="5"/>
  <c r="D69" i="5" s="1"/>
  <c r="D68" i="5"/>
  <c r="B68" i="5"/>
  <c r="B67" i="5"/>
  <c r="D67" i="5" s="1"/>
  <c r="D66" i="5"/>
  <c r="B66" i="5"/>
  <c r="B65" i="5"/>
  <c r="D65" i="5" s="1"/>
  <c r="B64" i="5"/>
  <c r="D64" i="5" s="1"/>
  <c r="B63" i="5"/>
  <c r="D63" i="5" s="1"/>
  <c r="B62" i="5"/>
  <c r="D62" i="5" s="1"/>
  <c r="B61" i="5"/>
  <c r="D61" i="5" s="1"/>
  <c r="B60" i="5"/>
  <c r="D60" i="5" s="1"/>
  <c r="B59" i="5"/>
  <c r="D59" i="5" s="1"/>
  <c r="B58" i="5"/>
  <c r="D58" i="5" s="1"/>
  <c r="B57" i="5"/>
  <c r="D57" i="5" s="1"/>
  <c r="B56" i="5"/>
  <c r="D56" i="5" s="1"/>
  <c r="B55" i="5"/>
  <c r="D55" i="5" s="1"/>
  <c r="D54" i="5"/>
  <c r="B54" i="5"/>
  <c r="D53" i="5"/>
  <c r="B53" i="5"/>
  <c r="D52" i="5"/>
  <c r="B52" i="5"/>
  <c r="B51" i="5"/>
  <c r="D51" i="5" s="1"/>
  <c r="B50" i="5"/>
  <c r="D50" i="5" s="1"/>
  <c r="B49" i="5"/>
  <c r="D49" i="5" s="1"/>
  <c r="B48" i="5"/>
  <c r="D48" i="5" s="1"/>
  <c r="B47" i="5"/>
  <c r="D47" i="5" s="1"/>
  <c r="B46" i="5"/>
  <c r="D46" i="5" s="1"/>
  <c r="B45" i="5"/>
  <c r="D45" i="5" s="1"/>
  <c r="B44" i="5"/>
  <c r="D44" i="5" s="1"/>
  <c r="D43" i="5"/>
  <c r="B43" i="5"/>
  <c r="B42" i="5"/>
  <c r="D42" i="5" s="1"/>
  <c r="B41" i="5"/>
  <c r="D41" i="5" s="1"/>
  <c r="D40" i="5"/>
  <c r="B40" i="5"/>
  <c r="B39" i="5"/>
  <c r="D39" i="5" s="1"/>
  <c r="D38" i="5"/>
  <c r="B38" i="5"/>
  <c r="D37" i="5"/>
  <c r="B37" i="5"/>
  <c r="B36" i="5"/>
  <c r="D36" i="5" s="1"/>
  <c r="B35" i="5"/>
  <c r="D35" i="5" s="1"/>
  <c r="B34" i="5"/>
  <c r="D34" i="5" s="1"/>
  <c r="B33" i="5"/>
  <c r="D33" i="5" s="1"/>
  <c r="B32" i="5"/>
  <c r="D32" i="5" s="1"/>
  <c r="D31" i="5"/>
  <c r="B31" i="5"/>
  <c r="D30" i="5"/>
  <c r="B30" i="5"/>
  <c r="B29" i="5"/>
  <c r="D29" i="5" s="1"/>
  <c r="B28" i="5"/>
  <c r="D28" i="5" s="1"/>
  <c r="B27" i="5"/>
  <c r="D27" i="5" s="1"/>
  <c r="B26" i="5"/>
  <c r="D26" i="5" s="1"/>
  <c r="B25" i="5"/>
  <c r="D25" i="5" s="1"/>
  <c r="B24" i="5"/>
  <c r="D24" i="5" s="1"/>
  <c r="B23" i="5"/>
  <c r="D23" i="5" s="1"/>
  <c r="B22" i="5"/>
  <c r="D22" i="5" s="1"/>
  <c r="B21" i="5"/>
  <c r="D21" i="5" s="1"/>
  <c r="B20" i="5"/>
  <c r="D20" i="5" s="1"/>
  <c r="D19" i="5"/>
  <c r="B19" i="5"/>
  <c r="D18" i="5"/>
  <c r="B18" i="5"/>
  <c r="D17" i="5"/>
  <c r="B17" i="5"/>
  <c r="B16" i="5"/>
  <c r="D16" i="5" s="1"/>
  <c r="B15" i="5"/>
  <c r="D15" i="5" s="1"/>
  <c r="B14" i="5"/>
  <c r="D14" i="5" s="1"/>
  <c r="B13" i="5"/>
  <c r="D13" i="5" s="1"/>
  <c r="E13" i="5" s="1"/>
  <c r="F13" i="5" s="1"/>
  <c r="D12" i="5"/>
  <c r="E12" i="5" s="1"/>
  <c r="C13" i="4"/>
  <c r="D13" i="4" s="1"/>
  <c r="E13" i="4" s="1"/>
  <c r="C14" i="4"/>
  <c r="C15" i="4"/>
  <c r="C16" i="4"/>
  <c r="C17" i="4"/>
  <c r="C18" i="4"/>
  <c r="D18" i="4" s="1"/>
  <c r="C19" i="4"/>
  <c r="C20" i="4"/>
  <c r="C21" i="4"/>
  <c r="C22" i="4"/>
  <c r="C23" i="4"/>
  <c r="C24" i="4"/>
  <c r="C25" i="4"/>
  <c r="D25" i="4" s="1"/>
  <c r="C26" i="4"/>
  <c r="D26" i="4" s="1"/>
  <c r="C27" i="4"/>
  <c r="D27" i="4" s="1"/>
  <c r="C28" i="4"/>
  <c r="D28" i="4" s="1"/>
  <c r="C29" i="4"/>
  <c r="D29" i="4" s="1"/>
  <c r="C30" i="4"/>
  <c r="D30" i="4" s="1"/>
  <c r="C31" i="4"/>
  <c r="D31" i="4" s="1"/>
  <c r="C32" i="4"/>
  <c r="D32" i="4" s="1"/>
  <c r="C33" i="4"/>
  <c r="D33" i="4" s="1"/>
  <c r="C34" i="4"/>
  <c r="D34" i="4" s="1"/>
  <c r="C35" i="4"/>
  <c r="D35" i="4" s="1"/>
  <c r="C36" i="4"/>
  <c r="D36" i="4" s="1"/>
  <c r="C37" i="4"/>
  <c r="D37" i="4" s="1"/>
  <c r="C38" i="4"/>
  <c r="C39" i="4"/>
  <c r="C40" i="4"/>
  <c r="C41" i="4"/>
  <c r="C42" i="4"/>
  <c r="C43" i="4"/>
  <c r="C44" i="4"/>
  <c r="C45" i="4"/>
  <c r="C46" i="4"/>
  <c r="D46" i="4" s="1"/>
  <c r="C47" i="4"/>
  <c r="D47" i="4" s="1"/>
  <c r="C48" i="4"/>
  <c r="D48" i="4" s="1"/>
  <c r="C49" i="4"/>
  <c r="C50" i="4"/>
  <c r="C51" i="4"/>
  <c r="C52" i="4"/>
  <c r="C53" i="4"/>
  <c r="C54" i="4"/>
  <c r="C55" i="4"/>
  <c r="C56" i="4"/>
  <c r="D56" i="4" s="1"/>
  <c r="C57" i="4"/>
  <c r="D57" i="4" s="1"/>
  <c r="C58" i="4"/>
  <c r="D58" i="4" s="1"/>
  <c r="C59" i="4"/>
  <c r="D59" i="4" s="1"/>
  <c r="C60" i="4"/>
  <c r="D60" i="4" s="1"/>
  <c r="C61" i="4"/>
  <c r="D61" i="4" s="1"/>
  <c r="C62" i="4"/>
  <c r="C63" i="4"/>
  <c r="C64" i="4"/>
  <c r="C65" i="4"/>
  <c r="C66" i="4"/>
  <c r="D66" i="4" s="1"/>
  <c r="C67" i="4"/>
  <c r="C68" i="4"/>
  <c r="C69" i="4"/>
  <c r="C70" i="4"/>
  <c r="C71" i="4"/>
  <c r="C72" i="4"/>
  <c r="C73" i="4"/>
  <c r="D73" i="4" s="1"/>
  <c r="C74" i="4"/>
  <c r="D74" i="4" s="1"/>
  <c r="C75" i="4"/>
  <c r="D75" i="4" s="1"/>
  <c r="C76" i="4"/>
  <c r="D76" i="4" s="1"/>
  <c r="C77" i="4"/>
  <c r="D77" i="4" s="1"/>
  <c r="C78" i="4"/>
  <c r="D78" i="4" s="1"/>
  <c r="C79" i="4"/>
  <c r="D79" i="4" s="1"/>
  <c r="C80" i="4"/>
  <c r="D80" i="4" s="1"/>
  <c r="C81" i="4"/>
  <c r="D81" i="4" s="1"/>
  <c r="C82" i="4"/>
  <c r="D82" i="4" s="1"/>
  <c r="C83" i="4"/>
  <c r="D83" i="4" s="1"/>
  <c r="C84" i="4"/>
  <c r="D84" i="4" s="1"/>
  <c r="C85" i="4"/>
  <c r="D85" i="4" s="1"/>
  <c r="C86" i="4"/>
  <c r="C87" i="4"/>
  <c r="C88" i="4"/>
  <c r="C89" i="4"/>
  <c r="C90" i="4"/>
  <c r="C91" i="4"/>
  <c r="C92" i="4"/>
  <c r="C93" i="4"/>
  <c r="C94" i="4"/>
  <c r="D94" i="4" s="1"/>
  <c r="C95" i="4"/>
  <c r="D95" i="4" s="1"/>
  <c r="C96" i="4"/>
  <c r="D96" i="4" s="1"/>
  <c r="C97" i="4"/>
  <c r="C98" i="4"/>
  <c r="C99" i="4"/>
  <c r="C100" i="4"/>
  <c r="C101" i="4"/>
  <c r="C102" i="4"/>
  <c r="C103" i="4"/>
  <c r="C104" i="4"/>
  <c r="D104" i="4" s="1"/>
  <c r="C105" i="4"/>
  <c r="D105" i="4" s="1"/>
  <c r="C106" i="4"/>
  <c r="D106" i="4" s="1"/>
  <c r="C107" i="4"/>
  <c r="D107" i="4" s="1"/>
  <c r="C108" i="4"/>
  <c r="D108" i="4" s="1"/>
  <c r="C109" i="4"/>
  <c r="D109" i="4" s="1"/>
  <c r="C110" i="4"/>
  <c r="C111" i="4"/>
  <c r="C112" i="4"/>
  <c r="C12" i="4"/>
  <c r="D14" i="4"/>
  <c r="D17" i="4"/>
  <c r="D38" i="4"/>
  <c r="D41" i="4"/>
  <c r="D49" i="4"/>
  <c r="D50" i="4"/>
  <c r="D51" i="4"/>
  <c r="D52" i="4"/>
  <c r="D53" i="4"/>
  <c r="D62" i="4"/>
  <c r="D65" i="4"/>
  <c r="D86" i="4"/>
  <c r="D89" i="4"/>
  <c r="D97" i="4"/>
  <c r="D98" i="4"/>
  <c r="D99" i="4"/>
  <c r="D100" i="4"/>
  <c r="D101" i="4"/>
  <c r="D110" i="4"/>
  <c r="D112" i="4"/>
  <c r="B112" i="4"/>
  <c r="D111" i="4"/>
  <c r="B111" i="4"/>
  <c r="B110" i="4"/>
  <c r="B109" i="4"/>
  <c r="B108" i="4"/>
  <c r="B107" i="4"/>
  <c r="B106" i="4"/>
  <c r="B105" i="4"/>
  <c r="B104" i="4"/>
  <c r="D103" i="4"/>
  <c r="B103" i="4"/>
  <c r="D102" i="4"/>
  <c r="B102" i="4"/>
  <c r="B101" i="4"/>
  <c r="B100" i="4"/>
  <c r="B99" i="4"/>
  <c r="B98" i="4"/>
  <c r="B97" i="4"/>
  <c r="B96" i="4"/>
  <c r="B95" i="4"/>
  <c r="B94" i="4"/>
  <c r="D93" i="4"/>
  <c r="B93" i="4"/>
  <c r="D92" i="4"/>
  <c r="B92" i="4"/>
  <c r="D91" i="4"/>
  <c r="B91" i="4"/>
  <c r="D90" i="4"/>
  <c r="B90" i="4"/>
  <c r="B89" i="4"/>
  <c r="D88" i="4"/>
  <c r="B88" i="4"/>
  <c r="D87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D72" i="4"/>
  <c r="B72" i="4"/>
  <c r="D71" i="4"/>
  <c r="B71" i="4"/>
  <c r="D70" i="4"/>
  <c r="B70" i="4"/>
  <c r="D69" i="4"/>
  <c r="B69" i="4"/>
  <c r="D68" i="4"/>
  <c r="B68" i="4"/>
  <c r="D67" i="4"/>
  <c r="B67" i="4"/>
  <c r="B66" i="4"/>
  <c r="B65" i="4"/>
  <c r="D64" i="4"/>
  <c r="B64" i="4"/>
  <c r="D63" i="4"/>
  <c r="B63" i="4"/>
  <c r="B62" i="4"/>
  <c r="B61" i="4"/>
  <c r="B60" i="4"/>
  <c r="B59" i="4"/>
  <c r="B58" i="4"/>
  <c r="B57" i="4"/>
  <c r="B56" i="4"/>
  <c r="D55" i="4"/>
  <c r="B55" i="4"/>
  <c r="D54" i="4"/>
  <c r="B54" i="4"/>
  <c r="B53" i="4"/>
  <c r="B52" i="4"/>
  <c r="B51" i="4"/>
  <c r="B50" i="4"/>
  <c r="B49" i="4"/>
  <c r="B48" i="4"/>
  <c r="B47" i="4"/>
  <c r="B46" i="4"/>
  <c r="D45" i="4"/>
  <c r="B45" i="4"/>
  <c r="D44" i="4"/>
  <c r="B44" i="4"/>
  <c r="D43" i="4"/>
  <c r="B43" i="4"/>
  <c r="D42" i="4"/>
  <c r="B42" i="4"/>
  <c r="B41" i="4"/>
  <c r="D40" i="4"/>
  <c r="B40" i="4"/>
  <c r="D39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D24" i="4"/>
  <c r="B24" i="4"/>
  <c r="D23" i="4"/>
  <c r="B23" i="4"/>
  <c r="D22" i="4"/>
  <c r="B22" i="4"/>
  <c r="D21" i="4"/>
  <c r="B21" i="4"/>
  <c r="D20" i="4"/>
  <c r="B20" i="4"/>
  <c r="D19" i="4"/>
  <c r="B19" i="4"/>
  <c r="B18" i="4"/>
  <c r="B17" i="4"/>
  <c r="D16" i="4"/>
  <c r="B16" i="4"/>
  <c r="D15" i="4"/>
  <c r="B15" i="4"/>
  <c r="B14" i="4"/>
  <c r="B13" i="4"/>
  <c r="G12" i="4"/>
  <c r="F12" i="4"/>
  <c r="G13" i="5" l="1"/>
  <c r="K12" i="5"/>
  <c r="L12" i="5"/>
  <c r="I13" i="5" s="1"/>
  <c r="J15" i="5"/>
  <c r="E14" i="5"/>
  <c r="F14" i="5" s="1"/>
  <c r="J17" i="1"/>
  <c r="H12" i="1"/>
  <c r="D12" i="4"/>
  <c r="E12" i="4" s="1"/>
  <c r="H12" i="4"/>
  <c r="F13" i="4"/>
  <c r="E15" i="5" l="1"/>
  <c r="F15" i="5" s="1"/>
  <c r="J16" i="5"/>
  <c r="G14" i="5"/>
  <c r="H13" i="5"/>
  <c r="L13" i="5" s="1"/>
  <c r="I14" i="5" s="1"/>
  <c r="I12" i="1"/>
  <c r="L12" i="1" s="1"/>
  <c r="J18" i="1"/>
  <c r="G13" i="4"/>
  <c r="I12" i="4"/>
  <c r="E14" i="4"/>
  <c r="F14" i="4" s="1"/>
  <c r="E16" i="5" l="1"/>
  <c r="F16" i="5" s="1"/>
  <c r="G15" i="5"/>
  <c r="H14" i="5"/>
  <c r="L14" i="5" s="1"/>
  <c r="I15" i="5" s="1"/>
  <c r="K13" i="5"/>
  <c r="J17" i="5"/>
  <c r="J19" i="1"/>
  <c r="I13" i="1"/>
  <c r="K12" i="1"/>
  <c r="E15" i="4"/>
  <c r="F15" i="4" s="1"/>
  <c r="G14" i="4"/>
  <c r="H13" i="4"/>
  <c r="K12" i="4"/>
  <c r="L12" i="4"/>
  <c r="D13" i="1"/>
  <c r="E13" i="1" s="1"/>
  <c r="F13" i="1" s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E14" i="1" l="1"/>
  <c r="F14" i="1" s="1"/>
  <c r="K14" i="5"/>
  <c r="E17" i="5"/>
  <c r="F17" i="5" s="1"/>
  <c r="J18" i="5"/>
  <c r="G16" i="5"/>
  <c r="H15" i="5"/>
  <c r="L15" i="5" s="1"/>
  <c r="I16" i="5" s="1"/>
  <c r="G13" i="1"/>
  <c r="J20" i="1"/>
  <c r="I13" i="4"/>
  <c r="L13" i="4" s="1"/>
  <c r="E16" i="4"/>
  <c r="F16" i="4" s="1"/>
  <c r="H14" i="4"/>
  <c r="G15" i="4"/>
  <c r="E18" i="5" l="1"/>
  <c r="F18" i="5" s="1"/>
  <c r="G17" i="5"/>
  <c r="H16" i="5"/>
  <c r="L16" i="5" s="1"/>
  <c r="I17" i="5" s="1"/>
  <c r="J19" i="5"/>
  <c r="K15" i="5"/>
  <c r="H13" i="1"/>
  <c r="G14" i="1"/>
  <c r="J21" i="1"/>
  <c r="E15" i="1"/>
  <c r="F15" i="1" s="1"/>
  <c r="K13" i="4"/>
  <c r="I14" i="4"/>
  <c r="L14" i="4" s="1"/>
  <c r="E17" i="4"/>
  <c r="F17" i="4" s="1"/>
  <c r="G16" i="4"/>
  <c r="H15" i="4"/>
  <c r="E19" i="5" l="1"/>
  <c r="F19" i="5" s="1"/>
  <c r="J20" i="5"/>
  <c r="H17" i="5"/>
  <c r="L17" i="5" s="1"/>
  <c r="I18" i="5" s="1"/>
  <c r="G18" i="5"/>
  <c r="K16" i="5"/>
  <c r="E16" i="1"/>
  <c r="F16" i="1" s="1"/>
  <c r="G15" i="1"/>
  <c r="H14" i="1"/>
  <c r="J22" i="1"/>
  <c r="L13" i="1"/>
  <c r="I14" i="1" s="1"/>
  <c r="K13" i="1"/>
  <c r="K14" i="4"/>
  <c r="I15" i="4"/>
  <c r="L15" i="4" s="1"/>
  <c r="E18" i="4"/>
  <c r="F18" i="4" s="1"/>
  <c r="H16" i="4"/>
  <c r="G17" i="4"/>
  <c r="L14" i="1" l="1"/>
  <c r="I15" i="1" s="1"/>
  <c r="G19" i="5"/>
  <c r="H18" i="5"/>
  <c r="L18" i="5" s="1"/>
  <c r="I19" i="5" s="1"/>
  <c r="J21" i="5"/>
  <c r="K17" i="5"/>
  <c r="E20" i="5"/>
  <c r="F20" i="5" s="1"/>
  <c r="E17" i="1"/>
  <c r="F17" i="1" s="1"/>
  <c r="K14" i="1"/>
  <c r="J23" i="1"/>
  <c r="H15" i="1"/>
  <c r="G16" i="1"/>
  <c r="K15" i="4"/>
  <c r="I16" i="4"/>
  <c r="L16" i="4" s="1"/>
  <c r="E19" i="4"/>
  <c r="F19" i="4" s="1"/>
  <c r="H17" i="4"/>
  <c r="G18" i="4"/>
  <c r="K16" i="4" l="1"/>
  <c r="L15" i="1"/>
  <c r="I16" i="1" s="1"/>
  <c r="E21" i="5"/>
  <c r="F21" i="5" s="1"/>
  <c r="J22" i="5"/>
  <c r="H19" i="5"/>
  <c r="L19" i="5" s="1"/>
  <c r="I20" i="5" s="1"/>
  <c r="G20" i="5"/>
  <c r="K18" i="5"/>
  <c r="E18" i="1"/>
  <c r="F18" i="1" s="1"/>
  <c r="G17" i="1"/>
  <c r="H16" i="1"/>
  <c r="J24" i="1"/>
  <c r="K15" i="1"/>
  <c r="I17" i="4"/>
  <c r="L17" i="4" s="1"/>
  <c r="E20" i="4"/>
  <c r="F20" i="4" s="1"/>
  <c r="H18" i="4"/>
  <c r="G19" i="4"/>
  <c r="E22" i="5" l="1"/>
  <c r="F22" i="5" s="1"/>
  <c r="H20" i="5"/>
  <c r="L20" i="5" s="1"/>
  <c r="I21" i="5" s="1"/>
  <c r="G21" i="5"/>
  <c r="J23" i="5"/>
  <c r="K19" i="5"/>
  <c r="E19" i="1"/>
  <c r="F19" i="1" s="1"/>
  <c r="J25" i="1"/>
  <c r="K16" i="1"/>
  <c r="L16" i="1"/>
  <c r="I17" i="1" s="1"/>
  <c r="G18" i="1"/>
  <c r="H17" i="1"/>
  <c r="K17" i="4"/>
  <c r="I18" i="4"/>
  <c r="L18" i="4" s="1"/>
  <c r="E21" i="4"/>
  <c r="F21" i="4" s="1"/>
  <c r="G20" i="4"/>
  <c r="H19" i="4"/>
  <c r="K18" i="4"/>
  <c r="E23" i="5" l="1"/>
  <c r="F23" i="5" s="1"/>
  <c r="J24" i="5"/>
  <c r="H21" i="5"/>
  <c r="L21" i="5" s="1"/>
  <c r="I22" i="5" s="1"/>
  <c r="G22" i="5"/>
  <c r="K20" i="5"/>
  <c r="K17" i="1"/>
  <c r="E20" i="1"/>
  <c r="F20" i="1" s="1"/>
  <c r="L17" i="1"/>
  <c r="I18" i="1" s="1"/>
  <c r="H18" i="1"/>
  <c r="G19" i="1"/>
  <c r="J26" i="1"/>
  <c r="I19" i="4"/>
  <c r="L19" i="4" s="1"/>
  <c r="E22" i="4"/>
  <c r="F22" i="4" s="1"/>
  <c r="G21" i="4"/>
  <c r="H20" i="4"/>
  <c r="E24" i="5" l="1"/>
  <c r="F24" i="5" s="1"/>
  <c r="H22" i="5"/>
  <c r="L22" i="5" s="1"/>
  <c r="I23" i="5" s="1"/>
  <c r="G23" i="5"/>
  <c r="J25" i="5"/>
  <c r="K21" i="5"/>
  <c r="K18" i="1"/>
  <c r="E21" i="1"/>
  <c r="F21" i="1" s="1"/>
  <c r="H19" i="1"/>
  <c r="G20" i="1"/>
  <c r="J27" i="1"/>
  <c r="L18" i="1"/>
  <c r="I19" i="1" s="1"/>
  <c r="K19" i="4"/>
  <c r="I20" i="4"/>
  <c r="L20" i="4" s="1"/>
  <c r="E23" i="4"/>
  <c r="F23" i="4" s="1"/>
  <c r="H21" i="4"/>
  <c r="G22" i="4"/>
  <c r="K20" i="4" l="1"/>
  <c r="E25" i="5"/>
  <c r="F25" i="5" s="1"/>
  <c r="J26" i="5"/>
  <c r="G24" i="5"/>
  <c r="H23" i="5"/>
  <c r="L23" i="5" s="1"/>
  <c r="I24" i="5" s="1"/>
  <c r="K22" i="5"/>
  <c r="K19" i="1"/>
  <c r="E22" i="1"/>
  <c r="F22" i="1" s="1"/>
  <c r="L19" i="1"/>
  <c r="I20" i="1" s="1"/>
  <c r="J28" i="1"/>
  <c r="H20" i="1"/>
  <c r="G21" i="1"/>
  <c r="I21" i="4"/>
  <c r="L21" i="4" s="1"/>
  <c r="E24" i="4"/>
  <c r="F24" i="4" s="1"/>
  <c r="G23" i="4"/>
  <c r="H22" i="4"/>
  <c r="K21" i="4"/>
  <c r="E26" i="5" l="1"/>
  <c r="F26" i="5" s="1"/>
  <c r="H24" i="5"/>
  <c r="L24" i="5" s="1"/>
  <c r="I25" i="5" s="1"/>
  <c r="G25" i="5"/>
  <c r="K23" i="5"/>
  <c r="J27" i="5"/>
  <c r="K20" i="1"/>
  <c r="E23" i="1"/>
  <c r="F23" i="1" s="1"/>
  <c r="L20" i="1"/>
  <c r="I21" i="1" s="1"/>
  <c r="H21" i="1"/>
  <c r="G22" i="1"/>
  <c r="J29" i="1"/>
  <c r="I22" i="4"/>
  <c r="L22" i="4" s="1"/>
  <c r="H23" i="4"/>
  <c r="G24" i="4"/>
  <c r="E25" i="4"/>
  <c r="F25" i="4" s="1"/>
  <c r="K22" i="4" l="1"/>
  <c r="E27" i="5"/>
  <c r="F27" i="5" s="1"/>
  <c r="J28" i="5"/>
  <c r="G26" i="5"/>
  <c r="H25" i="5"/>
  <c r="L25" i="5" s="1"/>
  <c r="I26" i="5" s="1"/>
  <c r="K24" i="5"/>
  <c r="K21" i="1"/>
  <c r="E24" i="1"/>
  <c r="F24" i="1" s="1"/>
  <c r="J30" i="1"/>
  <c r="G23" i="1"/>
  <c r="H22" i="1"/>
  <c r="L21" i="1"/>
  <c r="I22" i="1" s="1"/>
  <c r="I23" i="4"/>
  <c r="L23" i="4" s="1"/>
  <c r="E26" i="4"/>
  <c r="F26" i="4" s="1"/>
  <c r="H24" i="4"/>
  <c r="G25" i="4"/>
  <c r="K23" i="4"/>
  <c r="E28" i="5" l="1"/>
  <c r="F28" i="5" s="1"/>
  <c r="G27" i="5"/>
  <c r="H26" i="5"/>
  <c r="L26" i="5" s="1"/>
  <c r="I27" i="5" s="1"/>
  <c r="J29" i="5"/>
  <c r="K25" i="5"/>
  <c r="K22" i="1"/>
  <c r="E25" i="1"/>
  <c r="F25" i="1" s="1"/>
  <c r="J31" i="1"/>
  <c r="L22" i="1"/>
  <c r="I23" i="1" s="1"/>
  <c r="G24" i="1"/>
  <c r="H23" i="1"/>
  <c r="I24" i="4"/>
  <c r="L24" i="4" s="1"/>
  <c r="E27" i="4"/>
  <c r="F27" i="4" s="1"/>
  <c r="K24" i="4"/>
  <c r="G26" i="4"/>
  <c r="H25" i="4"/>
  <c r="E29" i="5" l="1"/>
  <c r="F29" i="5" s="1"/>
  <c r="J30" i="5"/>
  <c r="H27" i="5"/>
  <c r="L27" i="5" s="1"/>
  <c r="I28" i="5" s="1"/>
  <c r="G28" i="5"/>
  <c r="K26" i="5"/>
  <c r="K23" i="1"/>
  <c r="E26" i="1"/>
  <c r="F26" i="1" s="1"/>
  <c r="L23" i="1"/>
  <c r="I24" i="1" s="1"/>
  <c r="G25" i="1"/>
  <c r="H24" i="1"/>
  <c r="J32" i="1"/>
  <c r="I25" i="4"/>
  <c r="L25" i="4" s="1"/>
  <c r="E28" i="4"/>
  <c r="F28" i="4" s="1"/>
  <c r="H26" i="4"/>
  <c r="G27" i="4"/>
  <c r="K25" i="4" l="1"/>
  <c r="E30" i="5"/>
  <c r="F30" i="5" s="1"/>
  <c r="G29" i="5"/>
  <c r="H28" i="5"/>
  <c r="L28" i="5" s="1"/>
  <c r="I29" i="5" s="1"/>
  <c r="J31" i="5"/>
  <c r="K27" i="5"/>
  <c r="K24" i="1"/>
  <c r="E27" i="1"/>
  <c r="F27" i="1" s="1"/>
  <c r="J33" i="1"/>
  <c r="H25" i="1"/>
  <c r="G26" i="1"/>
  <c r="L24" i="1"/>
  <c r="I25" i="1" s="1"/>
  <c r="I26" i="4"/>
  <c r="L26" i="4" s="1"/>
  <c r="E29" i="4"/>
  <c r="F29" i="4" s="1"/>
  <c r="G28" i="4"/>
  <c r="H27" i="4"/>
  <c r="K26" i="4"/>
  <c r="E31" i="5" l="1"/>
  <c r="F31" i="5" s="1"/>
  <c r="J32" i="5"/>
  <c r="G30" i="5"/>
  <c r="H29" i="5"/>
  <c r="L29" i="5" s="1"/>
  <c r="I30" i="5" s="1"/>
  <c r="K28" i="5"/>
  <c r="K25" i="1"/>
  <c r="E28" i="1"/>
  <c r="F28" i="1" s="1"/>
  <c r="G27" i="1"/>
  <c r="H26" i="1"/>
  <c r="J34" i="1"/>
  <c r="L25" i="1"/>
  <c r="I26" i="1" s="1"/>
  <c r="I27" i="4"/>
  <c r="L27" i="4" s="1"/>
  <c r="E30" i="4"/>
  <c r="F30" i="4" s="1"/>
  <c r="K27" i="4"/>
  <c r="H28" i="4"/>
  <c r="G29" i="4"/>
  <c r="E32" i="5" l="1"/>
  <c r="F32" i="5" s="1"/>
  <c r="H30" i="5"/>
  <c r="L30" i="5" s="1"/>
  <c r="I31" i="5" s="1"/>
  <c r="G31" i="5"/>
  <c r="J33" i="5"/>
  <c r="K29" i="5"/>
  <c r="K26" i="1"/>
  <c r="E29" i="1"/>
  <c r="F29" i="1" s="1"/>
  <c r="J35" i="1"/>
  <c r="L26" i="1"/>
  <c r="I27" i="1" s="1"/>
  <c r="G28" i="1"/>
  <c r="H27" i="1"/>
  <c r="I28" i="4"/>
  <c r="L28" i="4" s="1"/>
  <c r="E31" i="4"/>
  <c r="F31" i="4" s="1"/>
  <c r="G30" i="4"/>
  <c r="H29" i="4"/>
  <c r="K28" i="4"/>
  <c r="K30" i="5" l="1"/>
  <c r="J34" i="5"/>
  <c r="G32" i="5"/>
  <c r="H31" i="5"/>
  <c r="L31" i="5" s="1"/>
  <c r="I32" i="5" s="1"/>
  <c r="E33" i="5"/>
  <c r="F33" i="5" s="1"/>
  <c r="K27" i="1"/>
  <c r="E30" i="1"/>
  <c r="F30" i="1" s="1"/>
  <c r="L27" i="1"/>
  <c r="I28" i="1" s="1"/>
  <c r="G29" i="1"/>
  <c r="H28" i="1"/>
  <c r="J36" i="1"/>
  <c r="I29" i="4"/>
  <c r="L29" i="4" s="1"/>
  <c r="E32" i="4"/>
  <c r="F32" i="4" s="1"/>
  <c r="H30" i="4"/>
  <c r="G31" i="4"/>
  <c r="K29" i="4" l="1"/>
  <c r="E34" i="5"/>
  <c r="F34" i="5" s="1"/>
  <c r="H32" i="5"/>
  <c r="L32" i="5" s="1"/>
  <c r="I33" i="5" s="1"/>
  <c r="G33" i="5"/>
  <c r="J35" i="5"/>
  <c r="K31" i="5"/>
  <c r="K28" i="1"/>
  <c r="E31" i="1"/>
  <c r="F31" i="1" s="1"/>
  <c r="J37" i="1"/>
  <c r="L28" i="1"/>
  <c r="I29" i="1" s="1"/>
  <c r="G30" i="1"/>
  <c r="H29" i="1"/>
  <c r="I30" i="4"/>
  <c r="L30" i="4" s="1"/>
  <c r="E33" i="4"/>
  <c r="F33" i="4" s="1"/>
  <c r="H31" i="4"/>
  <c r="G32" i="4"/>
  <c r="K30" i="4"/>
  <c r="E35" i="5" l="1"/>
  <c r="F35" i="5" s="1"/>
  <c r="J36" i="5"/>
  <c r="G34" i="5"/>
  <c r="H33" i="5"/>
  <c r="L33" i="5" s="1"/>
  <c r="I34" i="5" s="1"/>
  <c r="K32" i="5"/>
  <c r="K29" i="1"/>
  <c r="E32" i="1"/>
  <c r="F32" i="1" s="1"/>
  <c r="L29" i="1"/>
  <c r="I30" i="1" s="1"/>
  <c r="G31" i="1"/>
  <c r="H30" i="1"/>
  <c r="J38" i="1"/>
  <c r="I31" i="4"/>
  <c r="L31" i="4" s="1"/>
  <c r="E34" i="4"/>
  <c r="F34" i="4" s="1"/>
  <c r="G33" i="4"/>
  <c r="H32" i="4"/>
  <c r="E36" i="5" l="1"/>
  <c r="F36" i="5" s="1"/>
  <c r="K31" i="4"/>
  <c r="J37" i="5"/>
  <c r="H34" i="5"/>
  <c r="L34" i="5" s="1"/>
  <c r="I35" i="5" s="1"/>
  <c r="G35" i="5"/>
  <c r="K33" i="5"/>
  <c r="K30" i="1"/>
  <c r="E33" i="1"/>
  <c r="F33" i="1" s="1"/>
  <c r="J39" i="1"/>
  <c r="L30" i="1"/>
  <c r="I31" i="1" s="1"/>
  <c r="G32" i="1"/>
  <c r="H31" i="1"/>
  <c r="I32" i="4"/>
  <c r="L32" i="4" s="1"/>
  <c r="E35" i="4"/>
  <c r="F35" i="4" s="1"/>
  <c r="H33" i="4"/>
  <c r="G34" i="4"/>
  <c r="K32" i="4"/>
  <c r="E37" i="5" l="1"/>
  <c r="F37" i="5" s="1"/>
  <c r="G36" i="5"/>
  <c r="H35" i="5"/>
  <c r="L35" i="5" s="1"/>
  <c r="I36" i="5" s="1"/>
  <c r="J38" i="5"/>
  <c r="K34" i="5"/>
  <c r="K31" i="1"/>
  <c r="E34" i="1"/>
  <c r="F34" i="1" s="1"/>
  <c r="H32" i="1"/>
  <c r="G33" i="1"/>
  <c r="L31" i="1"/>
  <c r="I32" i="1" s="1"/>
  <c r="J40" i="1"/>
  <c r="I33" i="4"/>
  <c r="L33" i="4" s="1"/>
  <c r="E36" i="4"/>
  <c r="F36" i="4" s="1"/>
  <c r="G35" i="4"/>
  <c r="H34" i="4"/>
  <c r="K33" i="4"/>
  <c r="E38" i="5" l="1"/>
  <c r="F38" i="5" s="1"/>
  <c r="G37" i="5"/>
  <c r="H36" i="5"/>
  <c r="L36" i="5" s="1"/>
  <c r="I37" i="5" s="1"/>
  <c r="J39" i="5"/>
  <c r="K35" i="5"/>
  <c r="K32" i="1"/>
  <c r="E35" i="1"/>
  <c r="F35" i="1" s="1"/>
  <c r="L32" i="1"/>
  <c r="I33" i="1" s="1"/>
  <c r="J41" i="1"/>
  <c r="G34" i="1"/>
  <c r="H33" i="1"/>
  <c r="I34" i="4"/>
  <c r="L34" i="4" s="1"/>
  <c r="H35" i="4"/>
  <c r="G36" i="4"/>
  <c r="E37" i="4"/>
  <c r="F37" i="4" s="1"/>
  <c r="K34" i="4" l="1"/>
  <c r="E39" i="5"/>
  <c r="F39" i="5" s="1"/>
  <c r="J40" i="5"/>
  <c r="G38" i="5"/>
  <c r="H37" i="5"/>
  <c r="L37" i="5" s="1"/>
  <c r="I38" i="5" s="1"/>
  <c r="K36" i="5"/>
  <c r="K33" i="1"/>
  <c r="E36" i="1"/>
  <c r="F36" i="1" s="1"/>
  <c r="L33" i="1"/>
  <c r="I34" i="1" s="1"/>
  <c r="G35" i="1"/>
  <c r="H34" i="1"/>
  <c r="J42" i="1"/>
  <c r="I35" i="4"/>
  <c r="L35" i="4" s="1"/>
  <c r="E38" i="4"/>
  <c r="F38" i="4" s="1"/>
  <c r="G37" i="4"/>
  <c r="H36" i="4"/>
  <c r="K35" i="4"/>
  <c r="E40" i="5" l="1"/>
  <c r="F40" i="5" s="1"/>
  <c r="H38" i="5"/>
  <c r="L38" i="5" s="1"/>
  <c r="I39" i="5" s="1"/>
  <c r="G39" i="5"/>
  <c r="J41" i="5"/>
  <c r="K37" i="5"/>
  <c r="K34" i="1"/>
  <c r="E37" i="1"/>
  <c r="F37" i="1" s="1"/>
  <c r="J43" i="1"/>
  <c r="L34" i="1"/>
  <c r="I35" i="1" s="1"/>
  <c r="H35" i="1"/>
  <c r="G36" i="1"/>
  <c r="I36" i="4"/>
  <c r="L36" i="4" s="1"/>
  <c r="E39" i="4"/>
  <c r="F39" i="4" s="1"/>
  <c r="G38" i="4"/>
  <c r="H37" i="4"/>
  <c r="J42" i="5" l="1"/>
  <c r="H39" i="5"/>
  <c r="L39" i="5" s="1"/>
  <c r="I40" i="5" s="1"/>
  <c r="G40" i="5"/>
  <c r="E41" i="5"/>
  <c r="F41" i="5" s="1"/>
  <c r="K38" i="5"/>
  <c r="K35" i="1"/>
  <c r="E38" i="1"/>
  <c r="F38" i="1" s="1"/>
  <c r="G37" i="1"/>
  <c r="H36" i="1"/>
  <c r="L35" i="1"/>
  <c r="I36" i="1" s="1"/>
  <c r="J44" i="1"/>
  <c r="K36" i="4"/>
  <c r="I37" i="4"/>
  <c r="L37" i="4" s="1"/>
  <c r="E40" i="4"/>
  <c r="F40" i="4" s="1"/>
  <c r="H38" i="4"/>
  <c r="G39" i="4"/>
  <c r="K37" i="4"/>
  <c r="E42" i="5" l="1"/>
  <c r="F42" i="5" s="1"/>
  <c r="G41" i="5"/>
  <c r="H40" i="5"/>
  <c r="L40" i="5" s="1"/>
  <c r="I41" i="5" s="1"/>
  <c r="J43" i="5"/>
  <c r="K39" i="5"/>
  <c r="K36" i="1"/>
  <c r="E39" i="1"/>
  <c r="F39" i="1" s="1"/>
  <c r="L36" i="1"/>
  <c r="I37" i="1" s="1"/>
  <c r="J45" i="1"/>
  <c r="H37" i="1"/>
  <c r="G38" i="1"/>
  <c r="I38" i="4"/>
  <c r="L38" i="4" s="1"/>
  <c r="E41" i="4"/>
  <c r="F41" i="4" s="1"/>
  <c r="G40" i="4"/>
  <c r="H39" i="4"/>
  <c r="K38" i="4"/>
  <c r="E43" i="5" l="1"/>
  <c r="F43" i="5" s="1"/>
  <c r="J44" i="5"/>
  <c r="H41" i="5"/>
  <c r="L41" i="5" s="1"/>
  <c r="I42" i="5" s="1"/>
  <c r="G42" i="5"/>
  <c r="K40" i="5"/>
  <c r="K37" i="1"/>
  <c r="E40" i="1"/>
  <c r="F40" i="1" s="1"/>
  <c r="G39" i="1"/>
  <c r="H38" i="1"/>
  <c r="L37" i="1"/>
  <c r="I38" i="1" s="1"/>
  <c r="J46" i="1"/>
  <c r="I39" i="4"/>
  <c r="L39" i="4" s="1"/>
  <c r="E42" i="4"/>
  <c r="F42" i="4" s="1"/>
  <c r="H40" i="4"/>
  <c r="G41" i="4"/>
  <c r="K39" i="4" l="1"/>
  <c r="E44" i="5"/>
  <c r="F44" i="5" s="1"/>
  <c r="H42" i="5"/>
  <c r="L42" i="5" s="1"/>
  <c r="I43" i="5" s="1"/>
  <c r="G43" i="5"/>
  <c r="J45" i="5"/>
  <c r="K41" i="5"/>
  <c r="K38" i="1"/>
  <c r="E41" i="1"/>
  <c r="F41" i="1" s="1"/>
  <c r="L38" i="1"/>
  <c r="I39" i="1" s="1"/>
  <c r="J47" i="1"/>
  <c r="H39" i="1"/>
  <c r="G40" i="1"/>
  <c r="I40" i="4"/>
  <c r="L40" i="4" s="1"/>
  <c r="E43" i="4"/>
  <c r="F43" i="4" s="1"/>
  <c r="G42" i="4"/>
  <c r="H41" i="4"/>
  <c r="K40" i="4"/>
  <c r="E45" i="5" l="1"/>
  <c r="F45" i="5" s="1"/>
  <c r="J46" i="5"/>
  <c r="G44" i="5"/>
  <c r="H43" i="5"/>
  <c r="L43" i="5" s="1"/>
  <c r="I44" i="5" s="1"/>
  <c r="K42" i="5"/>
  <c r="K39" i="1"/>
  <c r="E42" i="1"/>
  <c r="F42" i="1" s="1"/>
  <c r="G41" i="1"/>
  <c r="H40" i="1"/>
  <c r="J48" i="1"/>
  <c r="L39" i="1"/>
  <c r="I40" i="1" s="1"/>
  <c r="I41" i="4"/>
  <c r="L41" i="4" s="1"/>
  <c r="E44" i="4"/>
  <c r="F44" i="4" s="1"/>
  <c r="K41" i="4"/>
  <c r="H42" i="4"/>
  <c r="G43" i="4"/>
  <c r="E46" i="5" l="1"/>
  <c r="F46" i="5" s="1"/>
  <c r="J47" i="5"/>
  <c r="H44" i="5"/>
  <c r="L44" i="5" s="1"/>
  <c r="I45" i="5" s="1"/>
  <c r="G45" i="5"/>
  <c r="K43" i="5"/>
  <c r="K40" i="1"/>
  <c r="E43" i="1"/>
  <c r="F43" i="1" s="1"/>
  <c r="G42" i="1"/>
  <c r="H41" i="1"/>
  <c r="J49" i="1"/>
  <c r="L40" i="1"/>
  <c r="I41" i="1" s="1"/>
  <c r="I42" i="4"/>
  <c r="L42" i="4" s="1"/>
  <c r="E45" i="4"/>
  <c r="F45" i="4" s="1"/>
  <c r="H43" i="4"/>
  <c r="G44" i="4"/>
  <c r="K42" i="4" l="1"/>
  <c r="E47" i="5"/>
  <c r="F47" i="5" s="1"/>
  <c r="G46" i="5"/>
  <c r="H45" i="5"/>
  <c r="L45" i="5" s="1"/>
  <c r="I46" i="5" s="1"/>
  <c r="J48" i="5"/>
  <c r="K44" i="5"/>
  <c r="K41" i="1"/>
  <c r="E44" i="1"/>
  <c r="F44" i="1" s="1"/>
  <c r="J50" i="1"/>
  <c r="H42" i="1"/>
  <c r="G43" i="1"/>
  <c r="L41" i="1"/>
  <c r="I42" i="1" s="1"/>
  <c r="I43" i="4"/>
  <c r="L43" i="4" s="1"/>
  <c r="E46" i="4"/>
  <c r="F46" i="4" s="1"/>
  <c r="G45" i="4"/>
  <c r="H44" i="4"/>
  <c r="K43" i="4"/>
  <c r="E48" i="5" l="1"/>
  <c r="F48" i="5" s="1"/>
  <c r="J49" i="5"/>
  <c r="H46" i="5"/>
  <c r="L46" i="5" s="1"/>
  <c r="I47" i="5" s="1"/>
  <c r="G47" i="5"/>
  <c r="K45" i="5"/>
  <c r="K42" i="1"/>
  <c r="E45" i="1"/>
  <c r="F45" i="1" s="1"/>
  <c r="L42" i="1"/>
  <c r="I43" i="1" s="1"/>
  <c r="G44" i="1"/>
  <c r="H43" i="1"/>
  <c r="J51" i="1"/>
  <c r="I44" i="4"/>
  <c r="L44" i="4" s="1"/>
  <c r="E47" i="4"/>
  <c r="F47" i="4" s="1"/>
  <c r="K44" i="4"/>
  <c r="H45" i="4"/>
  <c r="G46" i="4"/>
  <c r="E49" i="5" l="1"/>
  <c r="F49" i="5" s="1"/>
  <c r="G48" i="5"/>
  <c r="H47" i="5"/>
  <c r="L47" i="5" s="1"/>
  <c r="I48" i="5" s="1"/>
  <c r="J50" i="5"/>
  <c r="K46" i="5"/>
  <c r="K43" i="1"/>
  <c r="E46" i="1"/>
  <c r="F46" i="1" s="1"/>
  <c r="J52" i="1"/>
  <c r="L43" i="1"/>
  <c r="I44" i="1" s="1"/>
  <c r="H44" i="1"/>
  <c r="G45" i="1"/>
  <c r="I45" i="4"/>
  <c r="L45" i="4" s="1"/>
  <c r="E48" i="4"/>
  <c r="F48" i="4" s="1"/>
  <c r="G47" i="4"/>
  <c r="H46" i="4"/>
  <c r="K45" i="4"/>
  <c r="E50" i="5" l="1"/>
  <c r="F50" i="5" s="1"/>
  <c r="J51" i="5"/>
  <c r="H48" i="5"/>
  <c r="L48" i="5" s="1"/>
  <c r="I49" i="5" s="1"/>
  <c r="G49" i="5"/>
  <c r="K47" i="5"/>
  <c r="K44" i="1"/>
  <c r="E47" i="1"/>
  <c r="F47" i="1" s="1"/>
  <c r="H45" i="1"/>
  <c r="G46" i="1"/>
  <c r="L44" i="1"/>
  <c r="I45" i="1" s="1"/>
  <c r="J53" i="1"/>
  <c r="I46" i="4"/>
  <c r="L46" i="4" s="1"/>
  <c r="H47" i="4"/>
  <c r="G48" i="4"/>
  <c r="E49" i="4"/>
  <c r="F49" i="4" s="1"/>
  <c r="K46" i="4" l="1"/>
  <c r="E51" i="5"/>
  <c r="F51" i="5" s="1"/>
  <c r="G50" i="5"/>
  <c r="H49" i="5"/>
  <c r="L49" i="5" s="1"/>
  <c r="I50" i="5" s="1"/>
  <c r="J52" i="5"/>
  <c r="K48" i="5"/>
  <c r="K45" i="1"/>
  <c r="E48" i="1"/>
  <c r="F48" i="1" s="1"/>
  <c r="L45" i="1"/>
  <c r="I46" i="1" s="1"/>
  <c r="J54" i="1"/>
  <c r="G47" i="1"/>
  <c r="H46" i="1"/>
  <c r="I47" i="4"/>
  <c r="E50" i="4"/>
  <c r="F50" i="4" s="1"/>
  <c r="G49" i="4"/>
  <c r="H48" i="4"/>
  <c r="K47" i="4"/>
  <c r="J53" i="5" l="1"/>
  <c r="G51" i="5"/>
  <c r="H50" i="5"/>
  <c r="L50" i="5" s="1"/>
  <c r="I51" i="5" s="1"/>
  <c r="E52" i="5"/>
  <c r="F52" i="5" s="1"/>
  <c r="K49" i="5"/>
  <c r="K46" i="1"/>
  <c r="E49" i="1"/>
  <c r="F49" i="1" s="1"/>
  <c r="L46" i="1"/>
  <c r="I47" i="1" s="1"/>
  <c r="G48" i="1"/>
  <c r="H47" i="1"/>
  <c r="J55" i="1"/>
  <c r="L47" i="4"/>
  <c r="I48" i="4" s="1"/>
  <c r="E51" i="4"/>
  <c r="F51" i="4" s="1"/>
  <c r="G50" i="4"/>
  <c r="H49" i="4"/>
  <c r="E53" i="5" l="1"/>
  <c r="F53" i="5" s="1"/>
  <c r="H51" i="5"/>
  <c r="L51" i="5" s="1"/>
  <c r="I52" i="5" s="1"/>
  <c r="G52" i="5"/>
  <c r="J54" i="5"/>
  <c r="K50" i="5"/>
  <c r="K47" i="1"/>
  <c r="E50" i="1"/>
  <c r="F50" i="1" s="1"/>
  <c r="J56" i="1"/>
  <c r="L47" i="1"/>
  <c r="I48" i="1" s="1"/>
  <c r="G49" i="1"/>
  <c r="H48" i="1"/>
  <c r="L48" i="4"/>
  <c r="I49" i="4" s="1"/>
  <c r="K48" i="4"/>
  <c r="E52" i="4"/>
  <c r="F52" i="4" s="1"/>
  <c r="H50" i="4"/>
  <c r="G51" i="4"/>
  <c r="L49" i="4" l="1"/>
  <c r="I50" i="4" s="1"/>
  <c r="K49" i="4"/>
  <c r="E54" i="5"/>
  <c r="F54" i="5" s="1"/>
  <c r="J55" i="5"/>
  <c r="H52" i="5"/>
  <c r="L52" i="5" s="1"/>
  <c r="I53" i="5" s="1"/>
  <c r="G53" i="5"/>
  <c r="K51" i="5"/>
  <c r="K48" i="1"/>
  <c r="E51" i="1"/>
  <c r="F51" i="1" s="1"/>
  <c r="L48" i="1"/>
  <c r="I49" i="1" s="1"/>
  <c r="H49" i="1"/>
  <c r="G50" i="1"/>
  <c r="J57" i="1"/>
  <c r="E53" i="4"/>
  <c r="F53" i="4" s="1"/>
  <c r="G52" i="4"/>
  <c r="H51" i="4"/>
  <c r="L50" i="4" l="1"/>
  <c r="I51" i="4"/>
  <c r="K50" i="4"/>
  <c r="L51" i="4"/>
  <c r="E55" i="5"/>
  <c r="F55" i="5" s="1"/>
  <c r="G54" i="5"/>
  <c r="H53" i="5"/>
  <c r="L53" i="5" s="1"/>
  <c r="I54" i="5" s="1"/>
  <c r="J56" i="5"/>
  <c r="K52" i="5"/>
  <c r="K49" i="1"/>
  <c r="E52" i="1"/>
  <c r="F52" i="1" s="1"/>
  <c r="J58" i="1"/>
  <c r="G51" i="1"/>
  <c r="H50" i="1"/>
  <c r="L49" i="1"/>
  <c r="I50" i="1" s="1"/>
  <c r="E54" i="4"/>
  <c r="F54" i="4" s="1"/>
  <c r="H52" i="4"/>
  <c r="G53" i="4"/>
  <c r="I52" i="4" l="1"/>
  <c r="L52" i="4" s="1"/>
  <c r="I53" i="4" s="1"/>
  <c r="K51" i="4"/>
  <c r="E56" i="5"/>
  <c r="F56" i="5" s="1"/>
  <c r="J57" i="5"/>
  <c r="H54" i="5"/>
  <c r="L54" i="5" s="1"/>
  <c r="I55" i="5" s="1"/>
  <c r="G55" i="5"/>
  <c r="K53" i="5"/>
  <c r="K50" i="1"/>
  <c r="E53" i="1"/>
  <c r="F53" i="1" s="1"/>
  <c r="J59" i="1"/>
  <c r="L50" i="1"/>
  <c r="I51" i="1" s="1"/>
  <c r="G52" i="1"/>
  <c r="H51" i="1"/>
  <c r="E55" i="4"/>
  <c r="F55" i="4" s="1"/>
  <c r="G54" i="4"/>
  <c r="H53" i="4"/>
  <c r="K52" i="4" l="1"/>
  <c r="L53" i="4"/>
  <c r="I54" i="4" s="1"/>
  <c r="E57" i="5"/>
  <c r="F57" i="5" s="1"/>
  <c r="H55" i="5"/>
  <c r="L55" i="5" s="1"/>
  <c r="I56" i="5" s="1"/>
  <c r="G56" i="5"/>
  <c r="J58" i="5"/>
  <c r="K54" i="5"/>
  <c r="K51" i="1"/>
  <c r="E54" i="1"/>
  <c r="F54" i="1" s="1"/>
  <c r="J60" i="1"/>
  <c r="L51" i="1"/>
  <c r="I52" i="1" s="1"/>
  <c r="G53" i="1"/>
  <c r="H52" i="1"/>
  <c r="E56" i="4"/>
  <c r="F56" i="4" s="1"/>
  <c r="K53" i="4"/>
  <c r="H54" i="4"/>
  <c r="G55" i="4"/>
  <c r="L54" i="4" l="1"/>
  <c r="I55" i="4" s="1"/>
  <c r="E58" i="5"/>
  <c r="F58" i="5" s="1"/>
  <c r="J59" i="5"/>
  <c r="G57" i="5"/>
  <c r="H56" i="5"/>
  <c r="L56" i="5" s="1"/>
  <c r="I57" i="5" s="1"/>
  <c r="K55" i="5"/>
  <c r="K52" i="1"/>
  <c r="E55" i="1"/>
  <c r="F55" i="1" s="1"/>
  <c r="L52" i="1"/>
  <c r="I53" i="1" s="1"/>
  <c r="G54" i="1"/>
  <c r="H53" i="1"/>
  <c r="J61" i="1"/>
  <c r="E57" i="4"/>
  <c r="F57" i="4" s="1"/>
  <c r="K54" i="4"/>
  <c r="G56" i="4"/>
  <c r="H55" i="4"/>
  <c r="L55" i="4" l="1"/>
  <c r="I56" i="4" s="1"/>
  <c r="E59" i="5"/>
  <c r="F59" i="5" s="1"/>
  <c r="G58" i="5"/>
  <c r="H57" i="5"/>
  <c r="L57" i="5" s="1"/>
  <c r="I58" i="5" s="1"/>
  <c r="J60" i="5"/>
  <c r="K56" i="5"/>
  <c r="K53" i="1"/>
  <c r="E56" i="1"/>
  <c r="F56" i="1" s="1"/>
  <c r="J62" i="1"/>
  <c r="L53" i="1"/>
  <c r="I54" i="1" s="1"/>
  <c r="H54" i="1"/>
  <c r="G55" i="1"/>
  <c r="E58" i="4"/>
  <c r="F58" i="4" s="1"/>
  <c r="K55" i="4"/>
  <c r="G57" i="4"/>
  <c r="H56" i="4"/>
  <c r="L56" i="4" l="1"/>
  <c r="I57" i="4" s="1"/>
  <c r="E60" i="5"/>
  <c r="F60" i="5" s="1"/>
  <c r="H58" i="5"/>
  <c r="L58" i="5" s="1"/>
  <c r="I59" i="5" s="1"/>
  <c r="G59" i="5"/>
  <c r="J61" i="5"/>
  <c r="K57" i="5"/>
  <c r="K54" i="1"/>
  <c r="E57" i="1"/>
  <c r="F57" i="1" s="1"/>
  <c r="G56" i="1"/>
  <c r="H55" i="1"/>
  <c r="L54" i="1"/>
  <c r="I55" i="1" s="1"/>
  <c r="J63" i="1"/>
  <c r="E59" i="4"/>
  <c r="F59" i="4" s="1"/>
  <c r="H57" i="4"/>
  <c r="G58" i="4"/>
  <c r="K56" i="4"/>
  <c r="L57" i="4" l="1"/>
  <c r="I58" i="4" s="1"/>
  <c r="E61" i="5"/>
  <c r="F61" i="5" s="1"/>
  <c r="J62" i="5"/>
  <c r="G60" i="5"/>
  <c r="H59" i="5"/>
  <c r="L59" i="5" s="1"/>
  <c r="I60" i="5" s="1"/>
  <c r="K58" i="5"/>
  <c r="K55" i="1"/>
  <c r="E58" i="1"/>
  <c r="F58" i="1" s="1"/>
  <c r="J64" i="1"/>
  <c r="L55" i="1"/>
  <c r="I56" i="1" s="1"/>
  <c r="H56" i="1"/>
  <c r="G57" i="1"/>
  <c r="E60" i="4"/>
  <c r="F60" i="4" s="1"/>
  <c r="G59" i="4"/>
  <c r="H58" i="4"/>
  <c r="K57" i="4"/>
  <c r="L58" i="4" l="1"/>
  <c r="I59" i="4" s="1"/>
  <c r="E62" i="5"/>
  <c r="F62" i="5" s="1"/>
  <c r="G61" i="5"/>
  <c r="H60" i="5"/>
  <c r="L60" i="5" s="1"/>
  <c r="I61" i="5" s="1"/>
  <c r="J63" i="5"/>
  <c r="K59" i="5"/>
  <c r="K56" i="1"/>
  <c r="L56" i="1"/>
  <c r="I57" i="1" s="1"/>
  <c r="E59" i="1"/>
  <c r="F59" i="1" s="1"/>
  <c r="G58" i="1"/>
  <c r="H57" i="1"/>
  <c r="J65" i="1"/>
  <c r="E61" i="4"/>
  <c r="F61" i="4" s="1"/>
  <c r="K58" i="4"/>
  <c r="H59" i="4"/>
  <c r="G60" i="4"/>
  <c r="L59" i="4" l="1"/>
  <c r="E63" i="5"/>
  <c r="F63" i="5" s="1"/>
  <c r="J64" i="5"/>
  <c r="H61" i="5"/>
  <c r="L61" i="5" s="1"/>
  <c r="I62" i="5" s="1"/>
  <c r="G62" i="5"/>
  <c r="K60" i="5"/>
  <c r="E60" i="1"/>
  <c r="F60" i="1" s="1"/>
  <c r="K57" i="1"/>
  <c r="L57" i="1"/>
  <c r="I58" i="1" s="1"/>
  <c r="J66" i="1"/>
  <c r="G59" i="1"/>
  <c r="H58" i="1"/>
  <c r="I60" i="4"/>
  <c r="E62" i="4"/>
  <c r="F62" i="4" s="1"/>
  <c r="H60" i="4"/>
  <c r="L60" i="4" s="1"/>
  <c r="G61" i="4"/>
  <c r="K59" i="4"/>
  <c r="E64" i="5" l="1"/>
  <c r="F64" i="5" s="1"/>
  <c r="H62" i="5"/>
  <c r="L62" i="5" s="1"/>
  <c r="I63" i="5" s="1"/>
  <c r="G63" i="5"/>
  <c r="J65" i="5"/>
  <c r="K61" i="5"/>
  <c r="K58" i="1"/>
  <c r="L58" i="1"/>
  <c r="I59" i="1" s="1"/>
  <c r="H59" i="1"/>
  <c r="G60" i="1"/>
  <c r="J67" i="1"/>
  <c r="E61" i="1"/>
  <c r="F61" i="1" s="1"/>
  <c r="I61" i="4"/>
  <c r="E63" i="4"/>
  <c r="F63" i="4" s="1"/>
  <c r="G62" i="4"/>
  <c r="H61" i="4"/>
  <c r="K60" i="4"/>
  <c r="L61" i="4" l="1"/>
  <c r="I62" i="4" s="1"/>
  <c r="E65" i="5"/>
  <c r="F65" i="5" s="1"/>
  <c r="J66" i="5"/>
  <c r="H63" i="5"/>
  <c r="L63" i="5" s="1"/>
  <c r="I64" i="5" s="1"/>
  <c r="G64" i="5"/>
  <c r="K62" i="5"/>
  <c r="E62" i="1"/>
  <c r="F62" i="1" s="1"/>
  <c r="K59" i="1"/>
  <c r="L59" i="1"/>
  <c r="I60" i="1" s="1"/>
  <c r="J68" i="1"/>
  <c r="G61" i="1"/>
  <c r="H60" i="1"/>
  <c r="E64" i="4"/>
  <c r="F64" i="4" s="1"/>
  <c r="K61" i="4"/>
  <c r="H62" i="4"/>
  <c r="G63" i="4"/>
  <c r="L62" i="4" l="1"/>
  <c r="I63" i="4" s="1"/>
  <c r="E66" i="5"/>
  <c r="F66" i="5" s="1"/>
  <c r="G65" i="5"/>
  <c r="H64" i="5"/>
  <c r="L64" i="5" s="1"/>
  <c r="I65" i="5" s="1"/>
  <c r="J67" i="5"/>
  <c r="K63" i="5"/>
  <c r="K60" i="1"/>
  <c r="E63" i="1"/>
  <c r="F63" i="1" s="1"/>
  <c r="L60" i="1"/>
  <c r="I61" i="1" s="1"/>
  <c r="J69" i="1"/>
  <c r="H61" i="1"/>
  <c r="G62" i="1"/>
  <c r="E65" i="4"/>
  <c r="F65" i="4" s="1"/>
  <c r="G64" i="4"/>
  <c r="H63" i="4"/>
  <c r="K62" i="4"/>
  <c r="L63" i="4" l="1"/>
  <c r="I64" i="4" s="1"/>
  <c r="E67" i="5"/>
  <c r="F67" i="5" s="1"/>
  <c r="J68" i="5"/>
  <c r="H65" i="5"/>
  <c r="L65" i="5" s="1"/>
  <c r="I66" i="5" s="1"/>
  <c r="G66" i="5"/>
  <c r="K64" i="5"/>
  <c r="K61" i="1"/>
  <c r="E64" i="1"/>
  <c r="F64" i="1" s="1"/>
  <c r="L61" i="1"/>
  <c r="I62" i="1" s="1"/>
  <c r="G63" i="1"/>
  <c r="H62" i="1"/>
  <c r="J70" i="1"/>
  <c r="E66" i="4"/>
  <c r="F66" i="4" s="1"/>
  <c r="K63" i="4"/>
  <c r="H64" i="4"/>
  <c r="G65" i="4"/>
  <c r="L64" i="4" l="1"/>
  <c r="E68" i="5"/>
  <c r="F68" i="5" s="1"/>
  <c r="G67" i="5"/>
  <c r="H66" i="5"/>
  <c r="L66" i="5" s="1"/>
  <c r="I67" i="5" s="1"/>
  <c r="J69" i="5"/>
  <c r="K65" i="5"/>
  <c r="K62" i="1"/>
  <c r="E65" i="1"/>
  <c r="F65" i="1" s="1"/>
  <c r="J71" i="1"/>
  <c r="L62" i="1"/>
  <c r="I63" i="1" s="1"/>
  <c r="H63" i="1"/>
  <c r="G64" i="1"/>
  <c r="I65" i="4"/>
  <c r="E67" i="4"/>
  <c r="F67" i="4" s="1"/>
  <c r="G66" i="4"/>
  <c r="H65" i="4"/>
  <c r="L65" i="4" s="1"/>
  <c r="K64" i="4"/>
  <c r="J70" i="5" l="1"/>
  <c r="G68" i="5"/>
  <c r="H67" i="5"/>
  <c r="L67" i="5" s="1"/>
  <c r="I68" i="5" s="1"/>
  <c r="E69" i="5"/>
  <c r="F69" i="5" s="1"/>
  <c r="K66" i="5"/>
  <c r="K63" i="1"/>
  <c r="E66" i="1"/>
  <c r="F66" i="1" s="1"/>
  <c r="G65" i="1"/>
  <c r="H64" i="1"/>
  <c r="L63" i="1"/>
  <c r="I64" i="1" s="1"/>
  <c r="J72" i="1"/>
  <c r="I66" i="4"/>
  <c r="E68" i="4"/>
  <c r="F68" i="4" s="1"/>
  <c r="K65" i="4"/>
  <c r="H66" i="4"/>
  <c r="L66" i="4" s="1"/>
  <c r="G67" i="4"/>
  <c r="E70" i="5" l="1"/>
  <c r="F70" i="5" s="1"/>
  <c r="G69" i="5"/>
  <c r="H68" i="5"/>
  <c r="L68" i="5" s="1"/>
  <c r="I69" i="5" s="1"/>
  <c r="J71" i="5"/>
  <c r="K67" i="5"/>
  <c r="K64" i="1"/>
  <c r="E67" i="1"/>
  <c r="F67" i="1" s="1"/>
  <c r="J73" i="1"/>
  <c r="G66" i="1"/>
  <c r="H65" i="1"/>
  <c r="L64" i="1"/>
  <c r="I65" i="1" s="1"/>
  <c r="I67" i="4"/>
  <c r="E69" i="4"/>
  <c r="F69" i="4" s="1"/>
  <c r="H67" i="4"/>
  <c r="L67" i="4" s="1"/>
  <c r="G68" i="4"/>
  <c r="K66" i="4"/>
  <c r="E71" i="5" l="1"/>
  <c r="F71" i="5" s="1"/>
  <c r="J72" i="5"/>
  <c r="H69" i="5"/>
  <c r="L69" i="5" s="1"/>
  <c r="I70" i="5" s="1"/>
  <c r="G70" i="5"/>
  <c r="K68" i="5"/>
  <c r="K65" i="1"/>
  <c r="E68" i="1"/>
  <c r="F68" i="1" s="1"/>
  <c r="L65" i="1"/>
  <c r="I66" i="1" s="1"/>
  <c r="H66" i="1"/>
  <c r="G67" i="1"/>
  <c r="J74" i="1"/>
  <c r="I68" i="4"/>
  <c r="E70" i="4"/>
  <c r="F70" i="4" s="1"/>
  <c r="K67" i="4"/>
  <c r="G69" i="4"/>
  <c r="H68" i="4"/>
  <c r="L68" i="4" s="1"/>
  <c r="E72" i="5" l="1"/>
  <c r="F72" i="5" s="1"/>
  <c r="G71" i="5"/>
  <c r="H70" i="5"/>
  <c r="L70" i="5" s="1"/>
  <c r="I71" i="5" s="1"/>
  <c r="J73" i="5"/>
  <c r="K69" i="5"/>
  <c r="K66" i="1"/>
  <c r="E69" i="1"/>
  <c r="F69" i="1" s="1"/>
  <c r="J75" i="1"/>
  <c r="G68" i="1"/>
  <c r="H67" i="1"/>
  <c r="L66" i="1"/>
  <c r="I67" i="1" s="1"/>
  <c r="I69" i="4"/>
  <c r="E71" i="4"/>
  <c r="F71" i="4" s="1"/>
  <c r="H69" i="4"/>
  <c r="L69" i="4" s="1"/>
  <c r="G70" i="4"/>
  <c r="K68" i="4"/>
  <c r="E73" i="5" l="1"/>
  <c r="F73" i="5" s="1"/>
  <c r="J74" i="5"/>
  <c r="G72" i="5"/>
  <c r="H71" i="5"/>
  <c r="L71" i="5" s="1"/>
  <c r="I72" i="5" s="1"/>
  <c r="K70" i="5"/>
  <c r="K67" i="1"/>
  <c r="E70" i="1"/>
  <c r="F70" i="1" s="1"/>
  <c r="G69" i="1"/>
  <c r="H68" i="1"/>
  <c r="L67" i="1"/>
  <c r="I68" i="1" s="1"/>
  <c r="J76" i="1"/>
  <c r="I70" i="4"/>
  <c r="E72" i="4"/>
  <c r="F72" i="4" s="1"/>
  <c r="G71" i="4"/>
  <c r="H70" i="4"/>
  <c r="L70" i="4" s="1"/>
  <c r="K69" i="4"/>
  <c r="E74" i="5" l="1"/>
  <c r="F74" i="5" s="1"/>
  <c r="H72" i="5"/>
  <c r="L72" i="5" s="1"/>
  <c r="I73" i="5" s="1"/>
  <c r="G73" i="5"/>
  <c r="J75" i="5"/>
  <c r="K71" i="5"/>
  <c r="K68" i="1"/>
  <c r="E71" i="1"/>
  <c r="F71" i="1" s="1"/>
  <c r="J77" i="1"/>
  <c r="L68" i="1"/>
  <c r="I69" i="1" s="1"/>
  <c r="H69" i="1"/>
  <c r="G70" i="1"/>
  <c r="I71" i="4"/>
  <c r="K70" i="4"/>
  <c r="H71" i="4"/>
  <c r="L71" i="4" s="1"/>
  <c r="G72" i="4"/>
  <c r="E73" i="4"/>
  <c r="F73" i="4" s="1"/>
  <c r="E75" i="5" l="1"/>
  <c r="F75" i="5" s="1"/>
  <c r="J76" i="5"/>
  <c r="G74" i="5"/>
  <c r="H73" i="5"/>
  <c r="L73" i="5" s="1"/>
  <c r="I74" i="5" s="1"/>
  <c r="K72" i="5"/>
  <c r="K69" i="1"/>
  <c r="E72" i="1"/>
  <c r="F72" i="1" s="1"/>
  <c r="L69" i="1"/>
  <c r="I70" i="1" s="1"/>
  <c r="G71" i="1"/>
  <c r="H70" i="1"/>
  <c r="J78" i="1"/>
  <c r="I72" i="4"/>
  <c r="E74" i="4"/>
  <c r="F74" i="4" s="1"/>
  <c r="G73" i="4"/>
  <c r="H72" i="4"/>
  <c r="L72" i="4" s="1"/>
  <c r="K71" i="4"/>
  <c r="H74" i="5" l="1"/>
  <c r="L74" i="5" s="1"/>
  <c r="I75" i="5" s="1"/>
  <c r="G75" i="5"/>
  <c r="J77" i="5"/>
  <c r="E76" i="5"/>
  <c r="F76" i="5" s="1"/>
  <c r="K73" i="5"/>
  <c r="K70" i="1"/>
  <c r="E73" i="1"/>
  <c r="F73" i="1" s="1"/>
  <c r="J79" i="1"/>
  <c r="L70" i="1"/>
  <c r="I71" i="1" s="1"/>
  <c r="G72" i="1"/>
  <c r="H71" i="1"/>
  <c r="I73" i="4"/>
  <c r="E75" i="4"/>
  <c r="F75" i="4" s="1"/>
  <c r="K72" i="4"/>
  <c r="G74" i="4"/>
  <c r="H73" i="4"/>
  <c r="L73" i="4" s="1"/>
  <c r="E77" i="5" l="1"/>
  <c r="F77" i="5" s="1"/>
  <c r="J78" i="5"/>
  <c r="G76" i="5"/>
  <c r="H75" i="5"/>
  <c r="L75" i="5" s="1"/>
  <c r="I76" i="5" s="1"/>
  <c r="K74" i="5"/>
  <c r="K71" i="1"/>
  <c r="E74" i="1"/>
  <c r="F74" i="1" s="1"/>
  <c r="L71" i="1"/>
  <c r="I72" i="1" s="1"/>
  <c r="H72" i="1"/>
  <c r="G73" i="1"/>
  <c r="J80" i="1"/>
  <c r="I74" i="4"/>
  <c r="E76" i="4"/>
  <c r="F76" i="4" s="1"/>
  <c r="H74" i="4"/>
  <c r="L74" i="4" s="1"/>
  <c r="G75" i="4"/>
  <c r="K73" i="4"/>
  <c r="E78" i="5" l="1"/>
  <c r="F78" i="5" s="1"/>
  <c r="H76" i="5"/>
  <c r="L76" i="5" s="1"/>
  <c r="I77" i="5" s="1"/>
  <c r="G77" i="5"/>
  <c r="J79" i="5"/>
  <c r="K75" i="5"/>
  <c r="K72" i="1"/>
  <c r="E75" i="1"/>
  <c r="F75" i="1" s="1"/>
  <c r="J81" i="1"/>
  <c r="G74" i="1"/>
  <c r="H73" i="1"/>
  <c r="L72" i="1"/>
  <c r="I73" i="1" s="1"/>
  <c r="I75" i="4"/>
  <c r="E77" i="4"/>
  <c r="F77" i="4" s="1"/>
  <c r="K74" i="4"/>
  <c r="G76" i="4"/>
  <c r="H75" i="4"/>
  <c r="L75" i="4" s="1"/>
  <c r="E79" i="5" l="1"/>
  <c r="F79" i="5" s="1"/>
  <c r="J80" i="5"/>
  <c r="G78" i="5"/>
  <c r="H77" i="5"/>
  <c r="L77" i="5" s="1"/>
  <c r="I78" i="5" s="1"/>
  <c r="K76" i="5"/>
  <c r="K73" i="1"/>
  <c r="E76" i="1"/>
  <c r="F76" i="1" s="1"/>
  <c r="L73" i="1"/>
  <c r="I74" i="1" s="1"/>
  <c r="H74" i="1"/>
  <c r="G75" i="1"/>
  <c r="J82" i="1"/>
  <c r="I76" i="4"/>
  <c r="E78" i="4"/>
  <c r="F78" i="4" s="1"/>
  <c r="K75" i="4"/>
  <c r="H76" i="4"/>
  <c r="L76" i="4" s="1"/>
  <c r="G77" i="4"/>
  <c r="E80" i="5" l="1"/>
  <c r="F80" i="5" s="1"/>
  <c r="G79" i="5"/>
  <c r="H78" i="5"/>
  <c r="L78" i="5" s="1"/>
  <c r="I79" i="5" s="1"/>
  <c r="J81" i="5"/>
  <c r="K77" i="5"/>
  <c r="K74" i="1"/>
  <c r="E77" i="1"/>
  <c r="F77" i="1" s="1"/>
  <c r="J83" i="1"/>
  <c r="H75" i="1"/>
  <c r="G76" i="1"/>
  <c r="L74" i="1"/>
  <c r="I75" i="1" s="1"/>
  <c r="I77" i="4"/>
  <c r="E79" i="4"/>
  <c r="F79" i="4" s="1"/>
  <c r="G78" i="4"/>
  <c r="H77" i="4"/>
  <c r="L77" i="4" s="1"/>
  <c r="K76" i="4"/>
  <c r="E81" i="5" l="1"/>
  <c r="F81" i="5" s="1"/>
  <c r="J82" i="5"/>
  <c r="H79" i="5"/>
  <c r="L79" i="5" s="1"/>
  <c r="I80" i="5" s="1"/>
  <c r="G80" i="5"/>
  <c r="K78" i="5"/>
  <c r="K75" i="1"/>
  <c r="E78" i="1"/>
  <c r="F78" i="1" s="1"/>
  <c r="H76" i="1"/>
  <c r="G77" i="1"/>
  <c r="L75" i="1"/>
  <c r="I76" i="1" s="1"/>
  <c r="J84" i="1"/>
  <c r="I78" i="4"/>
  <c r="E80" i="4"/>
  <c r="F80" i="4" s="1"/>
  <c r="K77" i="4"/>
  <c r="H78" i="4"/>
  <c r="L78" i="4" s="1"/>
  <c r="G79" i="4"/>
  <c r="E82" i="5" l="1"/>
  <c r="F82" i="5" s="1"/>
  <c r="H80" i="5"/>
  <c r="L80" i="5" s="1"/>
  <c r="I81" i="5" s="1"/>
  <c r="G81" i="5"/>
  <c r="J83" i="5"/>
  <c r="K79" i="5"/>
  <c r="K76" i="1"/>
  <c r="E79" i="1"/>
  <c r="F79" i="1" s="1"/>
  <c r="J85" i="1"/>
  <c r="G78" i="1"/>
  <c r="H77" i="1"/>
  <c r="L76" i="1"/>
  <c r="I77" i="1" s="1"/>
  <c r="I79" i="4"/>
  <c r="E81" i="4"/>
  <c r="F81" i="4" s="1"/>
  <c r="K78" i="4"/>
  <c r="H79" i="4"/>
  <c r="G80" i="4"/>
  <c r="L79" i="4" l="1"/>
  <c r="I80" i="4" s="1"/>
  <c r="J84" i="5"/>
  <c r="H81" i="5"/>
  <c r="L81" i="5" s="1"/>
  <c r="I82" i="5" s="1"/>
  <c r="G82" i="5"/>
  <c r="E83" i="5"/>
  <c r="F83" i="5" s="1"/>
  <c r="K80" i="5"/>
  <c r="K77" i="1"/>
  <c r="E80" i="1"/>
  <c r="F80" i="1" s="1"/>
  <c r="L77" i="1"/>
  <c r="I78" i="1" s="1"/>
  <c r="H78" i="1"/>
  <c r="G79" i="1"/>
  <c r="J86" i="1"/>
  <c r="E82" i="4"/>
  <c r="F82" i="4" s="1"/>
  <c r="G81" i="4"/>
  <c r="H80" i="4"/>
  <c r="K79" i="4"/>
  <c r="L80" i="4" l="1"/>
  <c r="I81" i="4" s="1"/>
  <c r="E84" i="5"/>
  <c r="F84" i="5" s="1"/>
  <c r="G83" i="5"/>
  <c r="H82" i="5"/>
  <c r="L82" i="5" s="1"/>
  <c r="I83" i="5" s="1"/>
  <c r="J85" i="5"/>
  <c r="K81" i="5"/>
  <c r="E81" i="1"/>
  <c r="F81" i="1" s="1"/>
  <c r="J87" i="1"/>
  <c r="G80" i="1"/>
  <c r="H79" i="1"/>
  <c r="L78" i="1"/>
  <c r="I79" i="1" s="1"/>
  <c r="K78" i="1"/>
  <c r="E83" i="4"/>
  <c r="F83" i="4" s="1"/>
  <c r="K80" i="4"/>
  <c r="H81" i="4"/>
  <c r="G82" i="4"/>
  <c r="L81" i="4" l="1"/>
  <c r="I82" i="4" s="1"/>
  <c r="L79" i="1"/>
  <c r="E85" i="5"/>
  <c r="F85" i="5" s="1"/>
  <c r="J86" i="5"/>
  <c r="H83" i="5"/>
  <c r="L83" i="5" s="1"/>
  <c r="I84" i="5" s="1"/>
  <c r="G84" i="5"/>
  <c r="K82" i="5"/>
  <c r="E82" i="1"/>
  <c r="F82" i="1" s="1"/>
  <c r="K79" i="1"/>
  <c r="I80" i="1"/>
  <c r="J88" i="1"/>
  <c r="G81" i="1"/>
  <c r="H80" i="1"/>
  <c r="L80" i="1" s="1"/>
  <c r="E84" i="4"/>
  <c r="F84" i="4" s="1"/>
  <c r="G83" i="4"/>
  <c r="H82" i="4"/>
  <c r="K81" i="4"/>
  <c r="L82" i="4" l="1"/>
  <c r="I83" i="4" s="1"/>
  <c r="E86" i="5"/>
  <c r="F86" i="5" s="1"/>
  <c r="G85" i="5"/>
  <c r="H84" i="5"/>
  <c r="L84" i="5" s="1"/>
  <c r="I85" i="5" s="1"/>
  <c r="J87" i="5"/>
  <c r="K83" i="5"/>
  <c r="E83" i="1"/>
  <c r="F83" i="1" s="1"/>
  <c r="J89" i="1"/>
  <c r="H81" i="1"/>
  <c r="G82" i="1"/>
  <c r="I81" i="1"/>
  <c r="K80" i="1"/>
  <c r="E85" i="4"/>
  <c r="F85" i="4" s="1"/>
  <c r="K82" i="4"/>
  <c r="H83" i="4"/>
  <c r="G84" i="4"/>
  <c r="L83" i="4" l="1"/>
  <c r="L81" i="1"/>
  <c r="E87" i="5"/>
  <c r="F87" i="5" s="1"/>
  <c r="J88" i="5"/>
  <c r="H85" i="5"/>
  <c r="L85" i="5" s="1"/>
  <c r="I86" i="5" s="1"/>
  <c r="G86" i="5"/>
  <c r="K84" i="5"/>
  <c r="E84" i="1"/>
  <c r="F84" i="1" s="1"/>
  <c r="I82" i="1"/>
  <c r="K81" i="1"/>
  <c r="H82" i="1"/>
  <c r="L82" i="1" s="1"/>
  <c r="G83" i="1"/>
  <c r="J90" i="1"/>
  <c r="I84" i="4"/>
  <c r="E86" i="4"/>
  <c r="F86" i="4" s="1"/>
  <c r="G85" i="4"/>
  <c r="H84" i="4"/>
  <c r="L84" i="4" s="1"/>
  <c r="K83" i="4"/>
  <c r="E88" i="5" l="1"/>
  <c r="F88" i="5" s="1"/>
  <c r="G87" i="5"/>
  <c r="H86" i="5"/>
  <c r="L86" i="5" s="1"/>
  <c r="I87" i="5" s="1"/>
  <c r="J89" i="5"/>
  <c r="K85" i="5"/>
  <c r="E85" i="1"/>
  <c r="F85" i="1" s="1"/>
  <c r="J91" i="1"/>
  <c r="H83" i="1"/>
  <c r="G84" i="1"/>
  <c r="K82" i="1"/>
  <c r="I83" i="1"/>
  <c r="I85" i="4"/>
  <c r="E87" i="4"/>
  <c r="F87" i="4" s="1"/>
  <c r="K84" i="4"/>
  <c r="G86" i="4"/>
  <c r="H85" i="4"/>
  <c r="L85" i="4" s="1"/>
  <c r="E89" i="5" l="1"/>
  <c r="F89" i="5"/>
  <c r="J90" i="5"/>
  <c r="H87" i="5"/>
  <c r="L87" i="5" s="1"/>
  <c r="I88" i="5" s="1"/>
  <c r="G88" i="5"/>
  <c r="K86" i="5"/>
  <c r="E86" i="1"/>
  <c r="F86" i="1" s="1"/>
  <c r="K83" i="1"/>
  <c r="H84" i="1"/>
  <c r="G85" i="1"/>
  <c r="L83" i="1"/>
  <c r="I84" i="1" s="1"/>
  <c r="J92" i="1"/>
  <c r="I86" i="4"/>
  <c r="E88" i="4"/>
  <c r="F88" i="4" s="1"/>
  <c r="H86" i="4"/>
  <c r="L86" i="4" s="1"/>
  <c r="G87" i="4"/>
  <c r="K85" i="4"/>
  <c r="G89" i="5" l="1"/>
  <c r="H88" i="5"/>
  <c r="L88" i="5" s="1"/>
  <c r="I89" i="5" s="1"/>
  <c r="J91" i="5"/>
  <c r="E90" i="5"/>
  <c r="F90" i="5" s="1"/>
  <c r="K87" i="5"/>
  <c r="E87" i="1"/>
  <c r="F87" i="1" s="1"/>
  <c r="K84" i="1"/>
  <c r="J93" i="1"/>
  <c r="G86" i="1"/>
  <c r="H85" i="1"/>
  <c r="L84" i="1"/>
  <c r="I85" i="1" s="1"/>
  <c r="I87" i="4"/>
  <c r="E89" i="4"/>
  <c r="F89" i="4" s="1"/>
  <c r="K86" i="4"/>
  <c r="G88" i="4"/>
  <c r="H87" i="4"/>
  <c r="L87" i="4" s="1"/>
  <c r="E91" i="5" l="1"/>
  <c r="F91" i="5" s="1"/>
  <c r="J92" i="5"/>
  <c r="G90" i="5"/>
  <c r="H89" i="5"/>
  <c r="L89" i="5" s="1"/>
  <c r="I90" i="5" s="1"/>
  <c r="K88" i="5"/>
  <c r="K85" i="1"/>
  <c r="E88" i="1"/>
  <c r="F88" i="1" s="1"/>
  <c r="L85" i="1"/>
  <c r="I86" i="1" s="1"/>
  <c r="G87" i="1"/>
  <c r="H86" i="1"/>
  <c r="J94" i="1"/>
  <c r="I88" i="4"/>
  <c r="E90" i="4"/>
  <c r="F90" i="4" s="1"/>
  <c r="H88" i="4"/>
  <c r="L88" i="4" s="1"/>
  <c r="G89" i="4"/>
  <c r="K87" i="4"/>
  <c r="E92" i="5" l="1"/>
  <c r="F92" i="5"/>
  <c r="H90" i="5"/>
  <c r="L90" i="5" s="1"/>
  <c r="I91" i="5" s="1"/>
  <c r="G91" i="5"/>
  <c r="J93" i="5"/>
  <c r="K89" i="5"/>
  <c r="K86" i="1"/>
  <c r="E89" i="1"/>
  <c r="F89" i="1" s="1"/>
  <c r="J95" i="1"/>
  <c r="L86" i="1"/>
  <c r="I87" i="1" s="1"/>
  <c r="H87" i="1"/>
  <c r="G88" i="1"/>
  <c r="I89" i="4"/>
  <c r="E91" i="4"/>
  <c r="F91" i="4" s="1"/>
  <c r="G90" i="4"/>
  <c r="H89" i="4"/>
  <c r="L89" i="4" s="1"/>
  <c r="K88" i="4"/>
  <c r="J94" i="5" l="1"/>
  <c r="G92" i="5"/>
  <c r="H91" i="5"/>
  <c r="L91" i="5" s="1"/>
  <c r="I92" i="5" s="1"/>
  <c r="E93" i="5"/>
  <c r="F93" i="5" s="1"/>
  <c r="K90" i="5"/>
  <c r="K87" i="1"/>
  <c r="E90" i="1"/>
  <c r="F90" i="1" s="1"/>
  <c r="L87" i="1"/>
  <c r="I88" i="1" s="1"/>
  <c r="G89" i="1"/>
  <c r="H88" i="1"/>
  <c r="J96" i="1"/>
  <c r="I90" i="4"/>
  <c r="E92" i="4"/>
  <c r="F92" i="4" s="1"/>
  <c r="K89" i="4"/>
  <c r="H90" i="4"/>
  <c r="L90" i="4" s="1"/>
  <c r="G91" i="4"/>
  <c r="K91" i="5" l="1"/>
  <c r="E94" i="5"/>
  <c r="F94" i="5" s="1"/>
  <c r="H92" i="5"/>
  <c r="L92" i="5" s="1"/>
  <c r="I93" i="5" s="1"/>
  <c r="G93" i="5"/>
  <c r="J95" i="5"/>
  <c r="K88" i="1"/>
  <c r="E91" i="1"/>
  <c r="F91" i="1" s="1"/>
  <c r="J97" i="1"/>
  <c r="L88" i="1"/>
  <c r="I89" i="1" s="1"/>
  <c r="H89" i="1"/>
  <c r="G90" i="1"/>
  <c r="I91" i="4"/>
  <c r="K90" i="4"/>
  <c r="G92" i="4"/>
  <c r="H91" i="4"/>
  <c r="L91" i="4" s="1"/>
  <c r="E93" i="4"/>
  <c r="F93" i="4" s="1"/>
  <c r="E95" i="5" l="1"/>
  <c r="F95" i="5" s="1"/>
  <c r="G94" i="5"/>
  <c r="H93" i="5"/>
  <c r="L93" i="5" s="1"/>
  <c r="I94" i="5" s="1"/>
  <c r="J96" i="5"/>
  <c r="K92" i="5"/>
  <c r="K89" i="1"/>
  <c r="E92" i="1"/>
  <c r="F92" i="1" s="1"/>
  <c r="L89" i="1"/>
  <c r="I90" i="1" s="1"/>
  <c r="J98" i="1"/>
  <c r="H90" i="1"/>
  <c r="G91" i="1"/>
  <c r="I92" i="4"/>
  <c r="E94" i="4"/>
  <c r="F94" i="4" s="1"/>
  <c r="G93" i="4"/>
  <c r="H92" i="4"/>
  <c r="L92" i="4" s="1"/>
  <c r="K91" i="4"/>
  <c r="E96" i="5" l="1"/>
  <c r="F96" i="5" s="1"/>
  <c r="J97" i="5"/>
  <c r="H94" i="5"/>
  <c r="L94" i="5" s="1"/>
  <c r="I95" i="5" s="1"/>
  <c r="G95" i="5"/>
  <c r="K93" i="5"/>
  <c r="K90" i="1"/>
  <c r="E93" i="1"/>
  <c r="F93" i="1" s="1"/>
  <c r="H91" i="1"/>
  <c r="G92" i="1"/>
  <c r="L90" i="1"/>
  <c r="I91" i="1" s="1"/>
  <c r="J99" i="1"/>
  <c r="I93" i="4"/>
  <c r="E95" i="4"/>
  <c r="F95" i="4" s="1"/>
  <c r="K92" i="4"/>
  <c r="H93" i="4"/>
  <c r="L93" i="4" s="1"/>
  <c r="G94" i="4"/>
  <c r="E97" i="5" l="1"/>
  <c r="F97" i="5" s="1"/>
  <c r="G96" i="5"/>
  <c r="H95" i="5"/>
  <c r="L95" i="5" s="1"/>
  <c r="I96" i="5" s="1"/>
  <c r="J98" i="5"/>
  <c r="K94" i="5"/>
  <c r="E94" i="1"/>
  <c r="F94" i="1" s="1"/>
  <c r="K91" i="1"/>
  <c r="J100" i="1"/>
  <c r="G93" i="1"/>
  <c r="H92" i="1"/>
  <c r="L91" i="1"/>
  <c r="I92" i="1" s="1"/>
  <c r="I94" i="4"/>
  <c r="E96" i="4"/>
  <c r="F96" i="4" s="1"/>
  <c r="G95" i="4"/>
  <c r="H94" i="4"/>
  <c r="L94" i="4" s="1"/>
  <c r="K93" i="4"/>
  <c r="E98" i="5" l="1"/>
  <c r="F98" i="5" s="1"/>
  <c r="J99" i="5"/>
  <c r="G97" i="5"/>
  <c r="H96" i="5"/>
  <c r="L96" i="5" s="1"/>
  <c r="I97" i="5" s="1"/>
  <c r="K95" i="5"/>
  <c r="K92" i="1"/>
  <c r="E95" i="1"/>
  <c r="F95" i="1" s="1"/>
  <c r="L92" i="1"/>
  <c r="I93" i="1" s="1"/>
  <c r="H93" i="1"/>
  <c r="G94" i="1"/>
  <c r="J101" i="1"/>
  <c r="I95" i="4"/>
  <c r="E97" i="4"/>
  <c r="F97" i="4" s="1"/>
  <c r="H95" i="4"/>
  <c r="L95" i="4" s="1"/>
  <c r="G96" i="4"/>
  <c r="K94" i="4"/>
  <c r="E99" i="5" l="1"/>
  <c r="F99" i="5" s="1"/>
  <c r="G98" i="5"/>
  <c r="H97" i="5"/>
  <c r="L97" i="5" s="1"/>
  <c r="I98" i="5" s="1"/>
  <c r="J100" i="5"/>
  <c r="K96" i="5"/>
  <c r="E96" i="1"/>
  <c r="F96" i="1" s="1"/>
  <c r="G95" i="1"/>
  <c r="H94" i="1"/>
  <c r="J102" i="1"/>
  <c r="L93" i="1"/>
  <c r="I94" i="1" s="1"/>
  <c r="K93" i="1"/>
  <c r="I96" i="4"/>
  <c r="E98" i="4"/>
  <c r="F98" i="4" s="1"/>
  <c r="K95" i="4"/>
  <c r="H96" i="4"/>
  <c r="L96" i="4" s="1"/>
  <c r="G97" i="4"/>
  <c r="J101" i="5" l="1"/>
  <c r="E100" i="5"/>
  <c r="F100" i="5" s="1"/>
  <c r="H98" i="5"/>
  <c r="L98" i="5" s="1"/>
  <c r="I99" i="5" s="1"/>
  <c r="G99" i="5"/>
  <c r="K97" i="5"/>
  <c r="E97" i="1"/>
  <c r="F97" i="1" s="1"/>
  <c r="K94" i="1"/>
  <c r="J103" i="1"/>
  <c r="L94" i="1"/>
  <c r="I95" i="1" s="1"/>
  <c r="G96" i="1"/>
  <c r="H95" i="1"/>
  <c r="I97" i="4"/>
  <c r="E99" i="4"/>
  <c r="F99" i="4" s="1"/>
  <c r="G98" i="4"/>
  <c r="H97" i="4"/>
  <c r="L97" i="4" s="1"/>
  <c r="K96" i="4"/>
  <c r="E101" i="5" l="1"/>
  <c r="F101" i="5" s="1"/>
  <c r="K98" i="5"/>
  <c r="H99" i="5"/>
  <c r="L99" i="5" s="1"/>
  <c r="I100" i="5" s="1"/>
  <c r="G100" i="5"/>
  <c r="J102" i="5"/>
  <c r="K95" i="1"/>
  <c r="E98" i="1"/>
  <c r="F98" i="1" s="1"/>
  <c r="L95" i="1"/>
  <c r="I96" i="1" s="1"/>
  <c r="H96" i="1"/>
  <c r="G97" i="1"/>
  <c r="J104" i="1"/>
  <c r="I98" i="4"/>
  <c r="E100" i="4"/>
  <c r="F100" i="4" s="1"/>
  <c r="K97" i="4"/>
  <c r="H98" i="4"/>
  <c r="L98" i="4" s="1"/>
  <c r="G99" i="4"/>
  <c r="E102" i="5" l="1"/>
  <c r="F102" i="5" s="1"/>
  <c r="J103" i="5"/>
  <c r="G101" i="5"/>
  <c r="H100" i="5"/>
  <c r="L100" i="5" s="1"/>
  <c r="I101" i="5" s="1"/>
  <c r="K99" i="5"/>
  <c r="K96" i="1"/>
  <c r="E99" i="1"/>
  <c r="F99" i="1" s="1"/>
  <c r="J105" i="1"/>
  <c r="H97" i="1"/>
  <c r="G98" i="1"/>
  <c r="L96" i="1"/>
  <c r="I97" i="1" s="1"/>
  <c r="I99" i="4"/>
  <c r="E101" i="4"/>
  <c r="F101" i="4" s="1"/>
  <c r="G100" i="4"/>
  <c r="H99" i="4"/>
  <c r="L99" i="4" s="1"/>
  <c r="K98" i="4"/>
  <c r="E103" i="5" l="1"/>
  <c r="F103" i="5" s="1"/>
  <c r="H101" i="5"/>
  <c r="L101" i="5" s="1"/>
  <c r="I102" i="5" s="1"/>
  <c r="G102" i="5"/>
  <c r="J104" i="5"/>
  <c r="K100" i="5"/>
  <c r="K97" i="1"/>
  <c r="E100" i="1"/>
  <c r="F100" i="1" s="1"/>
  <c r="G99" i="1"/>
  <c r="H98" i="1"/>
  <c r="L97" i="1"/>
  <c r="I98" i="1" s="1"/>
  <c r="J106" i="1"/>
  <c r="I100" i="4"/>
  <c r="E102" i="4"/>
  <c r="F102" i="4" s="1"/>
  <c r="K99" i="4"/>
  <c r="H100" i="4"/>
  <c r="L100" i="4" s="1"/>
  <c r="G101" i="4"/>
  <c r="E104" i="5" l="1"/>
  <c r="F104" i="5" s="1"/>
  <c r="J105" i="5"/>
  <c r="G103" i="5"/>
  <c r="H102" i="5"/>
  <c r="L102" i="5" s="1"/>
  <c r="I103" i="5" s="1"/>
  <c r="K101" i="5"/>
  <c r="K98" i="1"/>
  <c r="E101" i="1"/>
  <c r="F101" i="1" s="1"/>
  <c r="J107" i="1"/>
  <c r="L98" i="1"/>
  <c r="I99" i="1" s="1"/>
  <c r="H99" i="1"/>
  <c r="G100" i="1"/>
  <c r="I101" i="4"/>
  <c r="E103" i="4"/>
  <c r="F103" i="4" s="1"/>
  <c r="G102" i="4"/>
  <c r="H101" i="4"/>
  <c r="L101" i="4" s="1"/>
  <c r="K100" i="4"/>
  <c r="E105" i="5" l="1"/>
  <c r="F105" i="5" s="1"/>
  <c r="H103" i="5"/>
  <c r="L103" i="5" s="1"/>
  <c r="I104" i="5" s="1"/>
  <c r="G104" i="5"/>
  <c r="J106" i="5"/>
  <c r="K102" i="5"/>
  <c r="K99" i="1"/>
  <c r="E102" i="1"/>
  <c r="F102" i="1" s="1"/>
  <c r="G101" i="1"/>
  <c r="H100" i="1"/>
  <c r="L99" i="1"/>
  <c r="I100" i="1" s="1"/>
  <c r="J108" i="1"/>
  <c r="I102" i="4"/>
  <c r="E104" i="4"/>
  <c r="F104" i="4" s="1"/>
  <c r="K101" i="4"/>
  <c r="H102" i="4"/>
  <c r="L102" i="4" s="1"/>
  <c r="G103" i="4"/>
  <c r="E106" i="5" l="1"/>
  <c r="F106" i="5" s="1"/>
  <c r="G105" i="5"/>
  <c r="H104" i="5"/>
  <c r="L104" i="5" s="1"/>
  <c r="I105" i="5" s="1"/>
  <c r="J107" i="5"/>
  <c r="K103" i="5"/>
  <c r="K100" i="1"/>
  <c r="E103" i="1"/>
  <c r="F103" i="1" s="1"/>
  <c r="J109" i="1"/>
  <c r="L100" i="1"/>
  <c r="I101" i="1" s="1"/>
  <c r="H101" i="1"/>
  <c r="G102" i="1"/>
  <c r="I103" i="4"/>
  <c r="E105" i="4"/>
  <c r="F105" i="4" s="1"/>
  <c r="H103" i="4"/>
  <c r="L103" i="4" s="1"/>
  <c r="G104" i="4"/>
  <c r="K102" i="4"/>
  <c r="K104" i="5" l="1"/>
  <c r="E107" i="5"/>
  <c r="F107" i="5" s="1"/>
  <c r="J108" i="5"/>
  <c r="H105" i="5"/>
  <c r="L105" i="5" s="1"/>
  <c r="I106" i="5" s="1"/>
  <c r="G106" i="5"/>
  <c r="K101" i="1"/>
  <c r="E104" i="1"/>
  <c r="F104" i="1" s="1"/>
  <c r="H102" i="1"/>
  <c r="G103" i="1"/>
  <c r="L101" i="1"/>
  <c r="I102" i="1" s="1"/>
  <c r="J110" i="1"/>
  <c r="I104" i="4"/>
  <c r="E106" i="4"/>
  <c r="F106" i="4" s="1"/>
  <c r="G105" i="4"/>
  <c r="H104" i="4"/>
  <c r="L104" i="4" s="1"/>
  <c r="K103" i="4"/>
  <c r="E108" i="5" l="1"/>
  <c r="F108" i="5" s="1"/>
  <c r="G107" i="5"/>
  <c r="H106" i="5"/>
  <c r="L106" i="5" s="1"/>
  <c r="I107" i="5" s="1"/>
  <c r="J109" i="5"/>
  <c r="K105" i="5"/>
  <c r="K102" i="1"/>
  <c r="E105" i="1"/>
  <c r="F105" i="1" s="1"/>
  <c r="J111" i="1"/>
  <c r="G104" i="1"/>
  <c r="H103" i="1"/>
  <c r="L102" i="1"/>
  <c r="I103" i="1" s="1"/>
  <c r="I105" i="4"/>
  <c r="E107" i="4"/>
  <c r="F107" i="4" s="1"/>
  <c r="K104" i="4"/>
  <c r="H105" i="4"/>
  <c r="L105" i="4" s="1"/>
  <c r="G106" i="4"/>
  <c r="E109" i="5" l="1"/>
  <c r="F109" i="5" s="1"/>
  <c r="J110" i="5"/>
  <c r="G108" i="5"/>
  <c r="H107" i="5"/>
  <c r="L107" i="5" s="1"/>
  <c r="I108" i="5" s="1"/>
  <c r="K106" i="5"/>
  <c r="K103" i="1"/>
  <c r="E106" i="1"/>
  <c r="F106" i="1" s="1"/>
  <c r="L103" i="1"/>
  <c r="I104" i="1" s="1"/>
  <c r="H104" i="1"/>
  <c r="G105" i="1"/>
  <c r="J112" i="1"/>
  <c r="I106" i="4"/>
  <c r="E108" i="4"/>
  <c r="F108" i="4" s="1"/>
  <c r="G107" i="4"/>
  <c r="H106" i="4"/>
  <c r="L106" i="4" s="1"/>
  <c r="K105" i="4"/>
  <c r="E110" i="5" l="1"/>
  <c r="F110" i="5" s="1"/>
  <c r="H108" i="5"/>
  <c r="L108" i="5" s="1"/>
  <c r="I109" i="5" s="1"/>
  <c r="G109" i="5"/>
  <c r="J111" i="5"/>
  <c r="K107" i="5"/>
  <c r="K104" i="1"/>
  <c r="E107" i="1"/>
  <c r="F107" i="1" s="1"/>
  <c r="H105" i="1"/>
  <c r="G106" i="1"/>
  <c r="L104" i="1"/>
  <c r="I105" i="1" s="1"/>
  <c r="I107" i="4"/>
  <c r="K106" i="4"/>
  <c r="H107" i="4"/>
  <c r="L107" i="4" s="1"/>
  <c r="G108" i="4"/>
  <c r="E109" i="4"/>
  <c r="F109" i="4" s="1"/>
  <c r="E111" i="5" l="1"/>
  <c r="F111" i="5" s="1"/>
  <c r="H109" i="5"/>
  <c r="L109" i="5" s="1"/>
  <c r="I110" i="5" s="1"/>
  <c r="G110" i="5"/>
  <c r="J112" i="5"/>
  <c r="K108" i="5"/>
  <c r="K105" i="1"/>
  <c r="E108" i="1"/>
  <c r="F108" i="1" s="1"/>
  <c r="L105" i="1"/>
  <c r="I106" i="1" s="1"/>
  <c r="H106" i="1"/>
  <c r="G107" i="1"/>
  <c r="I108" i="4"/>
  <c r="E110" i="4"/>
  <c r="F110" i="4" s="1"/>
  <c r="G109" i="4"/>
  <c r="H108" i="4"/>
  <c r="L108" i="4" s="1"/>
  <c r="K107" i="4"/>
  <c r="E112" i="5" l="1"/>
  <c r="F112" i="5" s="1"/>
  <c r="H110" i="5"/>
  <c r="L110" i="5" s="1"/>
  <c r="I111" i="5" s="1"/>
  <c r="G111" i="5"/>
  <c r="K109" i="5"/>
  <c r="K106" i="1"/>
  <c r="E109" i="1"/>
  <c r="F109" i="1" s="1"/>
  <c r="G108" i="1"/>
  <c r="H107" i="1"/>
  <c r="L106" i="1"/>
  <c r="I107" i="1" s="1"/>
  <c r="I109" i="4"/>
  <c r="E111" i="4"/>
  <c r="F111" i="4" s="1"/>
  <c r="K108" i="4"/>
  <c r="G110" i="4"/>
  <c r="H109" i="4"/>
  <c r="L109" i="4" s="1"/>
  <c r="G112" i="5" l="1"/>
  <c r="H112" i="5" s="1"/>
  <c r="H111" i="5"/>
  <c r="L111" i="5" s="1"/>
  <c r="I112" i="5" s="1"/>
  <c r="K110" i="5"/>
  <c r="K107" i="1"/>
  <c r="E110" i="1"/>
  <c r="F110" i="1" s="1"/>
  <c r="L107" i="1"/>
  <c r="I108" i="1" s="1"/>
  <c r="H108" i="1"/>
  <c r="G109" i="1"/>
  <c r="I110" i="4"/>
  <c r="E112" i="4"/>
  <c r="F112" i="4" s="1"/>
  <c r="H110" i="4"/>
  <c r="L110" i="4" s="1"/>
  <c r="G111" i="4"/>
  <c r="K109" i="4"/>
  <c r="K112" i="5" l="1"/>
  <c r="L112" i="5"/>
  <c r="K111" i="5"/>
  <c r="K108" i="1"/>
  <c r="E111" i="1"/>
  <c r="F111" i="1" s="1"/>
  <c r="G110" i="1"/>
  <c r="H109" i="1"/>
  <c r="L108" i="1"/>
  <c r="I109" i="1" s="1"/>
  <c r="I111" i="4"/>
  <c r="K110" i="4"/>
  <c r="G112" i="4"/>
  <c r="H112" i="4" s="1"/>
  <c r="H111" i="4"/>
  <c r="L111" i="4" s="1"/>
  <c r="K109" i="1" l="1"/>
  <c r="E112" i="1"/>
  <c r="F112" i="1" s="1"/>
  <c r="L109" i="1"/>
  <c r="I110" i="1" s="1"/>
  <c r="H110" i="1"/>
  <c r="G111" i="1"/>
  <c r="I112" i="4"/>
  <c r="K112" i="4" s="1"/>
  <c r="K111" i="4"/>
  <c r="K110" i="1" l="1"/>
  <c r="H111" i="1"/>
  <c r="G112" i="1"/>
  <c r="H112" i="1" s="1"/>
  <c r="L110" i="1"/>
  <c r="I111" i="1" s="1"/>
  <c r="L112" i="4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3" i="1"/>
  <c r="K111" i="1" l="1"/>
  <c r="L111" i="1"/>
  <c r="I112" i="1" s="1"/>
  <c r="K112" i="1" l="1"/>
  <c r="L112" i="1"/>
</calcChain>
</file>

<file path=xl/sharedStrings.xml><?xml version="1.0" encoding="utf-8"?>
<sst xmlns="http://schemas.openxmlformats.org/spreadsheetml/2006/main" count="78" uniqueCount="25">
  <si>
    <t>系统参数</t>
    <phoneticPr fontId="1" type="noConversion"/>
  </si>
  <si>
    <t>更新次数</t>
    <phoneticPr fontId="1" type="noConversion"/>
  </si>
  <si>
    <t>初始参数</t>
    <phoneticPr fontId="1" type="noConversion"/>
  </si>
  <si>
    <t>更新周期t(s)</t>
    <phoneticPr fontId="1" type="noConversion"/>
  </si>
  <si>
    <t>空气阻力系数k(N/(m/s))</t>
    <phoneticPr fontId="1" type="noConversion"/>
  </si>
  <si>
    <t>重力G(N)</t>
    <phoneticPr fontId="1" type="noConversion"/>
  </si>
  <si>
    <t>速度v0(m/s)</t>
    <phoneticPr fontId="1" type="noConversion"/>
  </si>
  <si>
    <t>质量m(kg)</t>
    <phoneticPr fontId="1" type="noConversion"/>
  </si>
  <si>
    <t>位置x0(m)</t>
    <phoneticPr fontId="1" type="noConversion"/>
  </si>
  <si>
    <t>时间t(s)</t>
    <phoneticPr fontId="1" type="noConversion"/>
  </si>
  <si>
    <t>噪声参数</t>
    <phoneticPr fontId="1" type="noConversion"/>
  </si>
  <si>
    <t>位置传感器方差σ_x(m^2)</t>
    <phoneticPr fontId="1" type="noConversion"/>
  </si>
  <si>
    <t>输出力方差σ_F(N^2)</t>
    <phoneticPr fontId="1" type="noConversion"/>
  </si>
  <si>
    <t>目标输出力F(N)</t>
    <phoneticPr fontId="1" type="noConversion"/>
  </si>
  <si>
    <t>物体实际加速度a(m/s^2)</t>
    <phoneticPr fontId="1" type="noConversion"/>
  </si>
  <si>
    <t>物体实际速度v(m/s)</t>
    <phoneticPr fontId="1" type="noConversion"/>
  </si>
  <si>
    <t>物体实际位置x(m)</t>
    <phoneticPr fontId="1" type="noConversion"/>
  </si>
  <si>
    <t>物体传感位置x'(m)//叠噪</t>
    <phoneticPr fontId="1" type="noConversion"/>
  </si>
  <si>
    <t>实际输出力F'(N)//叠噪</t>
    <phoneticPr fontId="1" type="noConversion"/>
  </si>
  <si>
    <t>修正模型位置x-(m)</t>
    <phoneticPr fontId="1" type="noConversion"/>
  </si>
  <si>
    <t>修正模型速度v-(m/s)</t>
    <phoneticPr fontId="1" type="noConversion"/>
  </si>
  <si>
    <t>预判模型速度v~(m/s)</t>
    <phoneticPr fontId="1" type="noConversion"/>
  </si>
  <si>
    <t>预判模型位置x~(m)</t>
    <phoneticPr fontId="1" type="noConversion"/>
  </si>
  <si>
    <t>k_1</t>
    <phoneticPr fontId="1" type="noConversion"/>
  </si>
  <si>
    <t>k_2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</si>
</sst>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3" x14ac:knownFonts="1">
    <font>
      <sz val="16"/>
      <color theme="1"/>
      <name val="方正楷体简体"/>
      <family val="2"/>
      <charset val="134"/>
    </font>
    <font>
      <sz val="9"/>
      <name val="方正楷体简体"/>
      <family val="2"/>
      <charset val="134"/>
    </font>
    <font>
      <sz val="16"/>
      <color theme="1"/>
      <name val="方正楷体简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0" fillId="5" borderId="1" xfId="0" applyFill="1" applyBorder="1">
      <alignment vertical="center"/>
    </xf>
    <xf numFmtId="176" fontId="0" fillId="0" borderId="1" xfId="0" applyNumberFormat="1" applyBorder="1">
      <alignment vertical="center"/>
    </xf>
    <xf numFmtId="176" fontId="0" fillId="6" borderId="1" xfId="0" applyNumberFormat="1" applyFill="1" applyBorder="1">
      <alignment vertical="center"/>
    </xf>
    <xf numFmtId="176" fontId="0" fillId="7" borderId="1" xfId="0" applyNumberFormat="1" applyFill="1" applyBorder="1">
      <alignment vertical="center"/>
    </xf>
    <xf numFmtId="0" fontId="2" fillId="0" borderId="1" xfId="0" applyFont="1" applyBorder="1">
      <alignment vertical="center"/>
    </xf>
    <xf numFmtId="176" fontId="0" fillId="0" borderId="1" xfId="0" applyNumberForma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0" fillId="11" borderId="1" xfId="0" applyFill="1" applyBorder="1">
      <alignment vertical="center"/>
    </xf>
    <xf numFmtId="0" fontId="0" fillId="0" borderId="1" xfId="0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恒力!$C$12:$C$112</c:f>
              <c:numCache>
                <c:formatCode>0.000_ </c:formatCode>
                <c:ptCount val="101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  <c:pt idx="76">
                  <c:v>10</c:v>
                </c:pt>
                <c:pt idx="77">
                  <c:v>10</c:v>
                </c:pt>
                <c:pt idx="78">
                  <c:v>10</c:v>
                </c:pt>
                <c:pt idx="79">
                  <c:v>10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9F-419A-8FC7-AB25376E3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37192"/>
        <c:axId val="455544392"/>
      </c:lineChart>
      <c:catAx>
        <c:axId val="455537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44392"/>
        <c:crosses val="autoZero"/>
        <c:auto val="1"/>
        <c:lblAlgn val="ctr"/>
        <c:lblOffset val="100"/>
        <c:noMultiLvlLbl val="0"/>
      </c:catAx>
      <c:valAx>
        <c:axId val="455544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37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r>
              <a:rPr lang="zh-CN" altLang="en-US"/>
              <a:t>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恒力!$D$12:$D$112</c:f>
              <c:numCache>
                <c:formatCode>0.000_ </c:formatCode>
                <c:ptCount val="101"/>
                <c:pt idx="0">
                  <c:v>9.9861920987792399</c:v>
                </c:pt>
                <c:pt idx="1">
                  <c:v>10.132656432130135</c:v>
                </c:pt>
                <c:pt idx="2">
                  <c:v>9.9297480614319902</c:v>
                </c:pt>
                <c:pt idx="3">
                  <c:v>10.123674153497895</c:v>
                </c:pt>
                <c:pt idx="4">
                  <c:v>10.038806098108243</c:v>
                </c:pt>
                <c:pt idx="5">
                  <c:v>9.9672626891467377</c:v>
                </c:pt>
                <c:pt idx="6">
                  <c:v>10.039252152567659</c:v>
                </c:pt>
                <c:pt idx="7">
                  <c:v>10.086749188709641</c:v>
                </c:pt>
                <c:pt idx="8">
                  <c:v>10.112928500307328</c:v>
                </c:pt>
                <c:pt idx="9">
                  <c:v>10.006303138061426</c:v>
                </c:pt>
                <c:pt idx="10">
                  <c:v>9.9708047632016577</c:v>
                </c:pt>
                <c:pt idx="11">
                  <c:v>10.028788485568887</c:v>
                </c:pt>
                <c:pt idx="12">
                  <c:v>10.035934439636176</c:v>
                </c:pt>
                <c:pt idx="13">
                  <c:v>10.174029386638358</c:v>
                </c:pt>
                <c:pt idx="14">
                  <c:v>10.140461312199346</c:v>
                </c:pt>
                <c:pt idx="15">
                  <c:v>10.082547680230304</c:v>
                </c:pt>
                <c:pt idx="16">
                  <c:v>10.007763603075725</c:v>
                </c:pt>
                <c:pt idx="17">
                  <c:v>10.04168574718744</c:v>
                </c:pt>
                <c:pt idx="18">
                  <c:v>9.8762292355442192</c:v>
                </c:pt>
                <c:pt idx="19">
                  <c:v>9.9807113998834787</c:v>
                </c:pt>
                <c:pt idx="20">
                  <c:v>10.127488394629998</c:v>
                </c:pt>
                <c:pt idx="21">
                  <c:v>9.9348892732001044</c:v>
                </c:pt>
                <c:pt idx="22">
                  <c:v>9.8179509895460342</c:v>
                </c:pt>
                <c:pt idx="23">
                  <c:v>10.049503980050277</c:v>
                </c:pt>
                <c:pt idx="24">
                  <c:v>9.8668939886690072</c:v>
                </c:pt>
                <c:pt idx="25">
                  <c:v>9.9621959267657747</c:v>
                </c:pt>
                <c:pt idx="26">
                  <c:v>9.9776972733494489</c:v>
                </c:pt>
                <c:pt idx="27">
                  <c:v>9.9864573934962273</c:v>
                </c:pt>
                <c:pt idx="28">
                  <c:v>10.055867475983284</c:v>
                </c:pt>
                <c:pt idx="29">
                  <c:v>9.8894507766937298</c:v>
                </c:pt>
                <c:pt idx="30">
                  <c:v>9.9566793924192751</c:v>
                </c:pt>
                <c:pt idx="31">
                  <c:v>9.9398064386237621</c:v>
                </c:pt>
                <c:pt idx="32">
                  <c:v>10.061446575684686</c:v>
                </c:pt>
                <c:pt idx="33">
                  <c:v>9.9592741570481067</c:v>
                </c:pt>
                <c:pt idx="34">
                  <c:v>9.9347588617863867</c:v>
                </c:pt>
                <c:pt idx="35">
                  <c:v>10.019198347098301</c:v>
                </c:pt>
                <c:pt idx="36">
                  <c:v>10.146349016677318</c:v>
                </c:pt>
                <c:pt idx="37">
                  <c:v>9.8434235118877265</c:v>
                </c:pt>
                <c:pt idx="38">
                  <c:v>9.965476487795538</c:v>
                </c:pt>
                <c:pt idx="39">
                  <c:v>9.942237209686942</c:v>
                </c:pt>
                <c:pt idx="40">
                  <c:v>10.016321301926734</c:v>
                </c:pt>
                <c:pt idx="41">
                  <c:v>10.017570313146525</c:v>
                </c:pt>
                <c:pt idx="42">
                  <c:v>9.9478617860340091</c:v>
                </c:pt>
                <c:pt idx="43">
                  <c:v>9.9330244494102899</c:v>
                </c:pt>
                <c:pt idx="44">
                  <c:v>9.9593978572028981</c:v>
                </c:pt>
                <c:pt idx="45">
                  <c:v>10.05237070109904</c:v>
                </c:pt>
                <c:pt idx="46">
                  <c:v>10.177686102090206</c:v>
                </c:pt>
                <c:pt idx="47">
                  <c:v>9.9693167413782113</c:v>
                </c:pt>
                <c:pt idx="48">
                  <c:v>9.9233067630550078</c:v>
                </c:pt>
                <c:pt idx="49">
                  <c:v>9.9257274255204457</c:v>
                </c:pt>
                <c:pt idx="50">
                  <c:v>9.9813542484938118</c:v>
                </c:pt>
                <c:pt idx="51">
                  <c:v>9.9534655007993376</c:v>
                </c:pt>
                <c:pt idx="52">
                  <c:v>9.9467347668315078</c:v>
                </c:pt>
                <c:pt idx="53">
                  <c:v>9.9785841225811662</c:v>
                </c:pt>
                <c:pt idx="54">
                  <c:v>10.03388615009545</c:v>
                </c:pt>
                <c:pt idx="55">
                  <c:v>10.039822434018474</c:v>
                </c:pt>
                <c:pt idx="56">
                  <c:v>9.812655607518705</c:v>
                </c:pt>
                <c:pt idx="57">
                  <c:v>10.290191166957365</c:v>
                </c:pt>
                <c:pt idx="58">
                  <c:v>10.095757009409844</c:v>
                </c:pt>
                <c:pt idx="59">
                  <c:v>9.9358238581458505</c:v>
                </c:pt>
                <c:pt idx="60">
                  <c:v>9.9422974446370809</c:v>
                </c:pt>
                <c:pt idx="61">
                  <c:v>10.092371603779387</c:v>
                </c:pt>
                <c:pt idx="62">
                  <c:v>10.157515837159689</c:v>
                </c:pt>
                <c:pt idx="63">
                  <c:v>9.932490108594628</c:v>
                </c:pt>
                <c:pt idx="64">
                  <c:v>9.88527833641486</c:v>
                </c:pt>
                <c:pt idx="65">
                  <c:v>10.105559862631114</c:v>
                </c:pt>
                <c:pt idx="66">
                  <c:v>10.224720827734952</c:v>
                </c:pt>
                <c:pt idx="67">
                  <c:v>9.9791079776337259</c:v>
                </c:pt>
                <c:pt idx="68">
                  <c:v>9.9543223398687157</c:v>
                </c:pt>
                <c:pt idx="69">
                  <c:v>10.055899662538586</c:v>
                </c:pt>
                <c:pt idx="70">
                  <c:v>9.833547129751917</c:v>
                </c:pt>
                <c:pt idx="71">
                  <c:v>10.064628668593691</c:v>
                </c:pt>
                <c:pt idx="72">
                  <c:v>10.034241799689697</c:v>
                </c:pt>
                <c:pt idx="73">
                  <c:v>10.021006575040859</c:v>
                </c:pt>
                <c:pt idx="74">
                  <c:v>9.9973958558362224</c:v>
                </c:pt>
                <c:pt idx="75">
                  <c:v>9.9555973737467109</c:v>
                </c:pt>
                <c:pt idx="76">
                  <c:v>9.9695088113281543</c:v>
                </c:pt>
                <c:pt idx="77">
                  <c:v>9.8635275806315281</c:v>
                </c:pt>
                <c:pt idx="78">
                  <c:v>10.045607945110969</c:v>
                </c:pt>
                <c:pt idx="79">
                  <c:v>10.046322338708498</c:v>
                </c:pt>
                <c:pt idx="80">
                  <c:v>10.086494768594237</c:v>
                </c:pt>
                <c:pt idx="81">
                  <c:v>10.26125462871553</c:v>
                </c:pt>
                <c:pt idx="82">
                  <c:v>9.8630207397385448</c:v>
                </c:pt>
                <c:pt idx="83">
                  <c:v>10.077087171105033</c:v>
                </c:pt>
                <c:pt idx="84">
                  <c:v>9.951458079253154</c:v>
                </c:pt>
                <c:pt idx="85">
                  <c:v>9.9801492603830066</c:v>
                </c:pt>
                <c:pt idx="86">
                  <c:v>10.022976304329941</c:v>
                </c:pt>
                <c:pt idx="87">
                  <c:v>9.904905962956045</c:v>
                </c:pt>
                <c:pt idx="88">
                  <c:v>10.201057437822778</c:v>
                </c:pt>
                <c:pt idx="89">
                  <c:v>9.8473929427014237</c:v>
                </c:pt>
                <c:pt idx="90">
                  <c:v>10.021680254722888</c:v>
                </c:pt>
                <c:pt idx="91">
                  <c:v>10.076988041507908</c:v>
                </c:pt>
                <c:pt idx="92">
                  <c:v>10.021958996322216</c:v>
                </c:pt>
                <c:pt idx="93">
                  <c:v>9.933814138798903</c:v>
                </c:pt>
                <c:pt idx="94">
                  <c:v>9.8807728338385914</c:v>
                </c:pt>
                <c:pt idx="95">
                  <c:v>10.15382590220521</c:v>
                </c:pt>
                <c:pt idx="96">
                  <c:v>9.9507381387090827</c:v>
                </c:pt>
                <c:pt idx="97">
                  <c:v>9.9210812927882728</c:v>
                </c:pt>
                <c:pt idx="98">
                  <c:v>10.109545302723873</c:v>
                </c:pt>
                <c:pt idx="99">
                  <c:v>10.199670262140218</c:v>
                </c:pt>
                <c:pt idx="100">
                  <c:v>9.904095248813416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4-46BE-B6C4-08B19DE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37192"/>
        <c:axId val="455544392"/>
      </c:lineChart>
      <c:catAx>
        <c:axId val="455537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44392"/>
        <c:crosses val="autoZero"/>
        <c:auto val="1"/>
        <c:lblAlgn val="ctr"/>
        <c:lblOffset val="100"/>
        <c:noMultiLvlLbl val="0"/>
      </c:catAx>
      <c:valAx>
        <c:axId val="455544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37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恒力!$E$12:$E$112</c:f>
              <c:numCache>
                <c:formatCode>0.000_ </c:formatCode>
                <c:ptCount val="101"/>
                <c:pt idx="0">
                  <c:v>-1.3807901220760144E-2</c:v>
                </c:pt>
                <c:pt idx="1">
                  <c:v>0.13265643213013512</c:v>
                </c:pt>
                <c:pt idx="2">
                  <c:v>-8.3517581781023337E-2</c:v>
                </c:pt>
                <c:pt idx="3">
                  <c:v>0.1187602684629835</c:v>
                </c:pt>
                <c:pt idx="4">
                  <c:v>2.2016186227033011E-2</c:v>
                </c:pt>
                <c:pt idx="5">
                  <c:v>-5.1728841357175086E-2</c:v>
                </c:pt>
                <c:pt idx="6">
                  <c:v>2.5433506199463919E-2</c:v>
                </c:pt>
                <c:pt idx="7">
                  <c:v>7.0387191721499279E-2</c:v>
                </c:pt>
                <c:pt idx="8">
                  <c:v>8.9527784147036507E-2</c:v>
                </c:pt>
                <c:pt idx="9">
                  <c:v>-2.6050356513569052E-2</c:v>
                </c:pt>
                <c:pt idx="10">
                  <c:v>-5.8943695721980736E-2</c:v>
                </c:pt>
                <c:pt idx="11">
                  <c:v>4.9343962174465995E-3</c:v>
                </c:pt>
                <c:pt idx="12">
                  <c:v>1.1586910662990623E-2</c:v>
                </c:pt>
                <c:pt idx="13">
                  <c:v>0.14852316659887371</c:v>
                </c:pt>
                <c:pt idx="14">
                  <c:v>0.10010277549997425</c:v>
                </c:pt>
                <c:pt idx="15">
                  <c:v>3.2178865980935174E-2</c:v>
                </c:pt>
                <c:pt idx="16">
                  <c:v>-4.5823097771737251E-2</c:v>
                </c:pt>
                <c:pt idx="17">
                  <c:v>-7.3186438828485093E-3</c:v>
                </c:pt>
                <c:pt idx="18">
                  <c:v>-0.1720432911377846</c:v>
                </c:pt>
                <c:pt idx="19">
                  <c:v>-5.0356797684746643E-2</c:v>
                </c:pt>
                <c:pt idx="20">
                  <c:v>0.10145587683024697</c:v>
                </c:pt>
                <c:pt idx="21">
                  <c:v>-0.10128883228267094</c:v>
                </c:pt>
                <c:pt idx="22">
                  <c:v>-0.20809823270847408</c:v>
                </c:pt>
                <c:pt idx="23">
                  <c:v>4.4264581066616168E-2</c:v>
                </c:pt>
                <c:pt idx="24">
                  <c:v>-0.14277186842131523</c:v>
                </c:pt>
                <c:pt idx="25">
                  <c:v>-3.3192743482416236E-2</c:v>
                </c:pt>
                <c:pt idx="26">
                  <c:v>-1.4372122550500419E-2</c:v>
                </c:pt>
                <c:pt idx="27">
                  <c:v>-4.1747901486719717E-3</c:v>
                </c:pt>
                <c:pt idx="28">
                  <c:v>6.565277135325194E-2</c:v>
                </c:pt>
                <c:pt idx="29">
                  <c:v>-0.10732920507162741</c:v>
                </c:pt>
                <c:pt idx="30">
                  <c:v>-2.9367668838919392E-2</c:v>
                </c:pt>
                <c:pt idx="31">
                  <c:v>-4.3303855750540465E-2</c:v>
                </c:pt>
                <c:pt idx="32">
                  <c:v>8.2666666885437279E-2</c:v>
                </c:pt>
                <c:pt idx="33">
                  <c:v>-2.7772418439685566E-2</c:v>
                </c:pt>
                <c:pt idx="34">
                  <c:v>-4.9510471857437038E-2</c:v>
                </c:pt>
                <c:pt idx="35">
                  <c:v>3.9880060640221482E-2</c:v>
                </c:pt>
                <c:pt idx="36">
                  <c:v>0.16304272415521587</c:v>
                </c:pt>
                <c:pt idx="37">
                  <c:v>-0.15618705304989727</c:v>
                </c:pt>
                <c:pt idx="38">
                  <c:v>-1.8515371837096048E-2</c:v>
                </c:pt>
                <c:pt idx="39">
                  <c:v>-3.9903112761982384E-2</c:v>
                </c:pt>
                <c:pt idx="40">
                  <c:v>3.81712907540077E-2</c:v>
                </c:pt>
                <c:pt idx="41">
                  <c:v>3.5603172898397858E-2</c:v>
                </c:pt>
                <c:pt idx="42">
                  <c:v>-3.7665671503957672E-2</c:v>
                </c:pt>
                <c:pt idx="43">
                  <c:v>-4.8736440977281012E-2</c:v>
                </c:pt>
                <c:pt idx="44">
                  <c:v>-1.7489389086944807E-2</c:v>
                </c:pt>
                <c:pt idx="45">
                  <c:v>7.723239371789159E-2</c:v>
                </c:pt>
                <c:pt idx="46">
                  <c:v>0.19482455533726853</c:v>
                </c:pt>
                <c:pt idx="47">
                  <c:v>-3.3027260908453059E-2</c:v>
                </c:pt>
                <c:pt idx="48">
                  <c:v>-7.5734513140811283E-2</c:v>
                </c:pt>
                <c:pt idx="49">
                  <c:v>-6.5740399361292223E-2</c:v>
                </c:pt>
                <c:pt idx="50">
                  <c:v>-3.5395364517969256E-3</c:v>
                </c:pt>
                <c:pt idx="51">
                  <c:v>-3.1074330501091478E-2</c:v>
                </c:pt>
                <c:pt idx="52">
                  <c:v>-3.4697631418812082E-2</c:v>
                </c:pt>
                <c:pt idx="53">
                  <c:v>6.2148747272754157E-4</c:v>
                </c:pt>
                <c:pt idx="54">
                  <c:v>5.5861366239738267E-2</c:v>
                </c:pt>
                <c:pt idx="55">
                  <c:v>5.6211513538788366E-2</c:v>
                </c:pt>
                <c:pt idx="56">
                  <c:v>-0.17657646431485907</c:v>
                </c:pt>
                <c:pt idx="57">
                  <c:v>0.31861674155528719</c:v>
                </c:pt>
                <c:pt idx="58">
                  <c:v>9.2320909852237412E-2</c:v>
                </c:pt>
                <c:pt idx="59">
                  <c:v>-7.6844332396980214E-2</c:v>
                </c:pt>
                <c:pt idx="60">
                  <c:v>-6.2686312666051763E-2</c:v>
                </c:pt>
                <c:pt idx="61">
                  <c:v>9.36564777428599E-2</c:v>
                </c:pt>
                <c:pt idx="62">
                  <c:v>0.14943506334887574</c:v>
                </c:pt>
                <c:pt idx="63">
                  <c:v>-9.0534171551073031E-2</c:v>
                </c:pt>
                <c:pt idx="64">
                  <c:v>-0.12869252657573374</c:v>
                </c:pt>
                <c:pt idx="65">
                  <c:v>0.10445825229809415</c:v>
                </c:pt>
                <c:pt idx="66">
                  <c:v>0.21317339217212242</c:v>
                </c:pt>
                <c:pt idx="67">
                  <c:v>-5.3756797146316079E-2</c:v>
                </c:pt>
                <c:pt idx="68">
                  <c:v>-7.3166755196694661E-2</c:v>
                </c:pt>
                <c:pt idx="69">
                  <c:v>3.5727242992844986E-2</c:v>
                </c:pt>
                <c:pt idx="70">
                  <c:v>-0.19019801409310841</c:v>
                </c:pt>
                <c:pt idx="71">
                  <c:v>5.9903326157976847E-2</c:v>
                </c:pt>
                <c:pt idx="72">
                  <c:v>2.3526124638185045E-2</c:v>
                </c:pt>
                <c:pt idx="73">
                  <c:v>7.9382875255284563E-3</c:v>
                </c:pt>
                <c:pt idx="74">
                  <c:v>-1.6466260431661255E-2</c:v>
                </c:pt>
                <c:pt idx="75">
                  <c:v>-5.6618116478006554E-2</c:v>
                </c:pt>
                <c:pt idx="76">
                  <c:v>-3.7044867248762589E-2</c:v>
                </c:pt>
                <c:pt idx="77">
                  <c:v>-0.13932161122051245</c:v>
                </c:pt>
                <c:pt idx="78">
                  <c:v>5.6690914380980104E-2</c:v>
                </c:pt>
                <c:pt idx="79">
                  <c:v>5.1736216540410322E-2</c:v>
                </c:pt>
                <c:pt idx="80">
                  <c:v>8.6735024772108843E-2</c:v>
                </c:pt>
                <c:pt idx="81">
                  <c:v>0.25282138241619112</c:v>
                </c:pt>
                <c:pt idx="82">
                  <c:v>-0.17069464480241361</c:v>
                </c:pt>
                <c:pt idx="83">
                  <c:v>6.0441251044315927E-2</c:v>
                </c:pt>
                <c:pt idx="84">
                  <c:v>-7.1231965911994655E-2</c:v>
                </c:pt>
                <c:pt idx="85">
                  <c:v>-3.5417588190942491E-2</c:v>
                </c:pt>
                <c:pt idx="86">
                  <c:v>1.0951214575085799E-2</c:v>
                </c:pt>
                <c:pt idx="87">
                  <c:v>-0.10821424825631849</c:v>
                </c:pt>
                <c:pt idx="88">
                  <c:v>0.19875865143604601</c:v>
                </c:pt>
                <c:pt idx="89">
                  <c:v>-0.17478170882891247</c:v>
                </c:pt>
                <c:pt idx="90">
                  <c:v>1.6983774075443062E-2</c:v>
                </c:pt>
                <c:pt idx="91">
                  <c:v>7.0593183452918998E-2</c:v>
                </c:pt>
                <c:pt idx="92">
                  <c:v>8.504819921934359E-3</c:v>
                </c:pt>
                <c:pt idx="93">
                  <c:v>-8.0490519593571661E-2</c:v>
                </c:pt>
                <c:pt idx="94">
                  <c:v>-0.12548277259452606</c:v>
                </c:pt>
                <c:pt idx="95">
                  <c:v>0.1601185730315447</c:v>
                </c:pt>
                <c:pt idx="96">
                  <c:v>-5.8981047767736564E-2</c:v>
                </c:pt>
                <c:pt idx="97">
                  <c:v>-8.2739788911772888E-2</c:v>
                </c:pt>
                <c:pt idx="98">
                  <c:v>0.11399819991500494</c:v>
                </c:pt>
                <c:pt idx="99">
                  <c:v>0.19272333933984936</c:v>
                </c:pt>
                <c:pt idx="100">
                  <c:v>-0.12212400792093783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C1-4F04-BF68-210FCF53F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13792"/>
        <c:axId val="455519552"/>
      </c:lineChart>
      <c:catAx>
        <c:axId val="4555137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19552"/>
        <c:crosses val="autoZero"/>
        <c:auto val="1"/>
        <c:lblAlgn val="ctr"/>
        <c:lblOffset val="100"/>
        <c:noMultiLvlLbl val="0"/>
      </c:catAx>
      <c:valAx>
        <c:axId val="45551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1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恒力!$F$12:$F$112</c:f>
              <c:numCache>
                <c:formatCode>0.000_ </c:formatCode>
                <c:ptCount val="101"/>
                <c:pt idx="0">
                  <c:v>0</c:v>
                </c:pt>
                <c:pt idx="1">
                  <c:v>1.3265643213013512E-2</c:v>
                </c:pt>
                <c:pt idx="2">
                  <c:v>4.9138850349111779E-3</c:v>
                </c:pt>
                <c:pt idx="3">
                  <c:v>1.6789911881209527E-2</c:v>
                </c:pt>
                <c:pt idx="4">
                  <c:v>1.8991530503912828E-2</c:v>
                </c:pt>
                <c:pt idx="5">
                  <c:v>1.3818646368195318E-2</c:v>
                </c:pt>
                <c:pt idx="6">
                  <c:v>1.6361996988141711E-2</c:v>
                </c:pt>
                <c:pt idx="7">
                  <c:v>2.340071616029164E-2</c:v>
                </c:pt>
                <c:pt idx="8">
                  <c:v>3.2353494574995291E-2</c:v>
                </c:pt>
                <c:pt idx="9">
                  <c:v>2.9748458923638386E-2</c:v>
                </c:pt>
                <c:pt idx="10">
                  <c:v>2.3854089351440313E-2</c:v>
                </c:pt>
                <c:pt idx="11">
                  <c:v>2.4347528973184974E-2</c:v>
                </c:pt>
                <c:pt idx="12">
                  <c:v>2.5506220039484037E-2</c:v>
                </c:pt>
                <c:pt idx="13">
                  <c:v>4.0358536699371408E-2</c:v>
                </c:pt>
                <c:pt idx="14">
                  <c:v>5.0368814249368836E-2</c:v>
                </c:pt>
                <c:pt idx="15">
                  <c:v>5.3586700847462351E-2</c:v>
                </c:pt>
                <c:pt idx="16">
                  <c:v>4.9004391070288623E-2</c:v>
                </c:pt>
                <c:pt idx="17">
                  <c:v>4.8272526682003769E-2</c:v>
                </c:pt>
                <c:pt idx="18">
                  <c:v>3.1068197568225309E-2</c:v>
                </c:pt>
                <c:pt idx="19">
                  <c:v>2.6032517799750646E-2</c:v>
                </c:pt>
                <c:pt idx="20">
                  <c:v>3.6178105482775343E-2</c:v>
                </c:pt>
                <c:pt idx="21">
                  <c:v>2.6049222254508248E-2</c:v>
                </c:pt>
                <c:pt idx="22">
                  <c:v>5.2393989836608396E-3</c:v>
                </c:pt>
                <c:pt idx="23">
                  <c:v>9.6658570903224578E-3</c:v>
                </c:pt>
                <c:pt idx="24">
                  <c:v>-4.6113297518090655E-3</c:v>
                </c:pt>
                <c:pt idx="25">
                  <c:v>-7.930604100050689E-3</c:v>
                </c:pt>
                <c:pt idx="26">
                  <c:v>-9.3678163551007311E-3</c:v>
                </c:pt>
                <c:pt idx="27">
                  <c:v>-9.785295369967929E-3</c:v>
                </c:pt>
                <c:pt idx="28">
                  <c:v>-3.2200182346427348E-3</c:v>
                </c:pt>
                <c:pt idx="29">
                  <c:v>-1.3952938741805476E-2</c:v>
                </c:pt>
                <c:pt idx="30">
                  <c:v>-1.6889705625697415E-2</c:v>
                </c:pt>
                <c:pt idx="31">
                  <c:v>-2.1220091200751461E-2</c:v>
                </c:pt>
                <c:pt idx="32">
                  <c:v>-1.2953424512207733E-2</c:v>
                </c:pt>
                <c:pt idx="33">
                  <c:v>-1.5730666356176291E-2</c:v>
                </c:pt>
                <c:pt idx="34">
                  <c:v>-2.0681713541919996E-2</c:v>
                </c:pt>
                <c:pt idx="35">
                  <c:v>-1.6693707477897848E-2</c:v>
                </c:pt>
                <c:pt idx="36">
                  <c:v>-3.8943506237626088E-4</c:v>
                </c:pt>
                <c:pt idx="37">
                  <c:v>-1.6008140367365989E-2</c:v>
                </c:pt>
                <c:pt idx="38">
                  <c:v>-1.7859677551075592E-2</c:v>
                </c:pt>
                <c:pt idx="39">
                  <c:v>-2.184998882727383E-2</c:v>
                </c:pt>
                <c:pt idx="40">
                  <c:v>-1.8032859751873059E-2</c:v>
                </c:pt>
                <c:pt idx="41">
                  <c:v>-1.4472542462033272E-2</c:v>
                </c:pt>
                <c:pt idx="42">
                  <c:v>-1.8239109612429041E-2</c:v>
                </c:pt>
                <c:pt idx="43">
                  <c:v>-2.3112753710157141E-2</c:v>
                </c:pt>
                <c:pt idx="44">
                  <c:v>-2.486169261885162E-2</c:v>
                </c:pt>
                <c:pt idx="45">
                  <c:v>-1.7138453247062462E-2</c:v>
                </c:pt>
                <c:pt idx="46">
                  <c:v>2.3440022866643914E-3</c:v>
                </c:pt>
                <c:pt idx="47">
                  <c:v>-9.5872380418091444E-4</c:v>
                </c:pt>
                <c:pt idx="48">
                  <c:v>-8.532175118262042E-3</c:v>
                </c:pt>
                <c:pt idx="49">
                  <c:v>-1.5106215054391265E-2</c:v>
                </c:pt>
                <c:pt idx="50">
                  <c:v>-1.5460168699570958E-2</c:v>
                </c:pt>
                <c:pt idx="51">
                  <c:v>-1.8567601749680106E-2</c:v>
                </c:pt>
                <c:pt idx="52">
                  <c:v>-2.2037364891561315E-2</c:v>
                </c:pt>
                <c:pt idx="53">
                  <c:v>-2.1975216144288559E-2</c:v>
                </c:pt>
                <c:pt idx="54">
                  <c:v>-1.6389079520314733E-2</c:v>
                </c:pt>
                <c:pt idx="55">
                  <c:v>-1.0767928166435896E-2</c:v>
                </c:pt>
                <c:pt idx="56">
                  <c:v>-2.8425574597921804E-2</c:v>
                </c:pt>
                <c:pt idx="57">
                  <c:v>3.436099557606917E-3</c:v>
                </c:pt>
                <c:pt idx="58">
                  <c:v>1.2668190542830658E-2</c:v>
                </c:pt>
                <c:pt idx="59">
                  <c:v>4.9837573031326363E-3</c:v>
                </c:pt>
                <c:pt idx="60">
                  <c:v>-1.2848739634725402E-3</c:v>
                </c:pt>
                <c:pt idx="61">
                  <c:v>8.0807738108134505E-3</c:v>
                </c:pt>
                <c:pt idx="62">
                  <c:v>2.3024280145701025E-2</c:v>
                </c:pt>
                <c:pt idx="63">
                  <c:v>1.3970862990593722E-2</c:v>
                </c:pt>
                <c:pt idx="64">
                  <c:v>1.1016103330203468E-3</c:v>
                </c:pt>
                <c:pt idx="65">
                  <c:v>1.1547435562829762E-2</c:v>
                </c:pt>
                <c:pt idx="66">
                  <c:v>3.2864774780042003E-2</c:v>
                </c:pt>
                <c:pt idx="67">
                  <c:v>2.7489095065410394E-2</c:v>
                </c:pt>
                <c:pt idx="68">
                  <c:v>2.0172419545740929E-2</c:v>
                </c:pt>
                <c:pt idx="69">
                  <c:v>2.3745143845025428E-2</c:v>
                </c:pt>
                <c:pt idx="70">
                  <c:v>4.7253424357145864E-3</c:v>
                </c:pt>
                <c:pt idx="71">
                  <c:v>1.0715675051512271E-2</c:v>
                </c:pt>
                <c:pt idx="72">
                  <c:v>1.3068287515330776E-2</c:v>
                </c:pt>
                <c:pt idx="73">
                  <c:v>1.3862116267883622E-2</c:v>
                </c:pt>
                <c:pt idx="74">
                  <c:v>1.2215490224717497E-2</c:v>
                </c:pt>
                <c:pt idx="75">
                  <c:v>6.553678576916841E-3</c:v>
                </c:pt>
                <c:pt idx="76">
                  <c:v>2.8491918520405818E-3</c:v>
                </c:pt>
                <c:pt idx="77">
                  <c:v>-1.1082969270010665E-2</c:v>
                </c:pt>
                <c:pt idx="78">
                  <c:v>-5.4138778319126543E-3</c:v>
                </c:pt>
                <c:pt idx="79">
                  <c:v>-2.402561778716214E-4</c:v>
                </c:pt>
                <c:pt idx="80">
                  <c:v>8.4332462993392636E-3</c:v>
                </c:pt>
                <c:pt idx="81">
                  <c:v>3.3715384540958376E-2</c:v>
                </c:pt>
                <c:pt idx="82">
                  <c:v>1.6645920060717013E-2</c:v>
                </c:pt>
                <c:pt idx="83">
                  <c:v>2.2690045165148606E-2</c:v>
                </c:pt>
                <c:pt idx="84">
                  <c:v>1.5566848573949139E-2</c:v>
                </c:pt>
                <c:pt idx="85">
                  <c:v>1.202508975485489E-2</c:v>
                </c:pt>
                <c:pt idx="86">
                  <c:v>1.312021121236347E-2</c:v>
                </c:pt>
                <c:pt idx="87">
                  <c:v>2.2987863867316195E-3</c:v>
                </c:pt>
                <c:pt idx="88">
                  <c:v>2.2174651530336223E-2</c:v>
                </c:pt>
                <c:pt idx="89">
                  <c:v>4.6964806474449755E-3</c:v>
                </c:pt>
                <c:pt idx="90">
                  <c:v>6.394858054989282E-3</c:v>
                </c:pt>
                <c:pt idx="91">
                  <c:v>1.3454176400281181E-2</c:v>
                </c:pt>
                <c:pt idx="92">
                  <c:v>1.4304658392474617E-2</c:v>
                </c:pt>
                <c:pt idx="93">
                  <c:v>6.2556064331174503E-3</c:v>
                </c:pt>
                <c:pt idx="94">
                  <c:v>-6.2926708263351568E-3</c:v>
                </c:pt>
                <c:pt idx="95">
                  <c:v>9.7191864768193144E-3</c:v>
                </c:pt>
                <c:pt idx="96">
                  <c:v>3.8210817000456573E-3</c:v>
                </c:pt>
                <c:pt idx="97">
                  <c:v>-4.4528971911316322E-3</c:v>
                </c:pt>
                <c:pt idx="98">
                  <c:v>6.9469228003688627E-3</c:v>
                </c:pt>
                <c:pt idx="99">
                  <c:v>2.62192567343538E-2</c:v>
                </c:pt>
                <c:pt idx="100">
                  <c:v>1.4006855942260015E-2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03-455A-A87C-35E189183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恒力!$G$12:$G$112</c:f>
              <c:numCache>
                <c:formatCode>0.000_ </c:formatCode>
                <c:ptCount val="101"/>
                <c:pt idx="0">
                  <c:v>0</c:v>
                </c:pt>
                <c:pt idx="1">
                  <c:v>1.3265643213013513E-3</c:v>
                </c:pt>
                <c:pt idx="2">
                  <c:v>1.817952824792469E-3</c:v>
                </c:pt>
                <c:pt idx="3">
                  <c:v>3.4969440129134217E-3</c:v>
                </c:pt>
                <c:pt idx="4">
                  <c:v>5.3960970633047042E-3</c:v>
                </c:pt>
                <c:pt idx="5">
                  <c:v>6.7779617001242362E-3</c:v>
                </c:pt>
                <c:pt idx="6">
                  <c:v>8.4141613989384065E-3</c:v>
                </c:pt>
                <c:pt idx="7">
                  <c:v>1.0754233014967571E-2</c:v>
                </c:pt>
                <c:pt idx="8">
                  <c:v>1.3989582472467101E-2</c:v>
                </c:pt>
                <c:pt idx="9">
                  <c:v>1.696442836483094E-2</c:v>
                </c:pt>
                <c:pt idx="10">
                  <c:v>1.934983729997497E-2</c:v>
                </c:pt>
                <c:pt idx="11">
                  <c:v>2.1784590197293466E-2</c:v>
                </c:pt>
                <c:pt idx="12">
                  <c:v>2.4335212201241869E-2</c:v>
                </c:pt>
                <c:pt idx="13">
                  <c:v>2.8371065871179012E-2</c:v>
                </c:pt>
                <c:pt idx="14">
                  <c:v>3.3407947296115896E-2</c:v>
                </c:pt>
                <c:pt idx="15">
                  <c:v>3.876661738086213E-2</c:v>
                </c:pt>
                <c:pt idx="16">
                  <c:v>4.3667056487890994E-2</c:v>
                </c:pt>
                <c:pt idx="17">
                  <c:v>4.8494309156091375E-2</c:v>
                </c:pt>
                <c:pt idx="18">
                  <c:v>5.1601128912913907E-2</c:v>
                </c:pt>
                <c:pt idx="19">
                  <c:v>5.4204380692888972E-2</c:v>
                </c:pt>
                <c:pt idx="20">
                  <c:v>5.7822191241166505E-2</c:v>
                </c:pt>
                <c:pt idx="21">
                  <c:v>6.0427113466617333E-2</c:v>
                </c:pt>
                <c:pt idx="22">
                  <c:v>6.0951053364983417E-2</c:v>
                </c:pt>
                <c:pt idx="23">
                  <c:v>6.1917639074015665E-2</c:v>
                </c:pt>
                <c:pt idx="24">
                  <c:v>6.1456506098834761E-2</c:v>
                </c:pt>
                <c:pt idx="25">
                  <c:v>6.0663445688829691E-2</c:v>
                </c:pt>
                <c:pt idx="26">
                  <c:v>5.9726664053319618E-2</c:v>
                </c:pt>
                <c:pt idx="27">
                  <c:v>5.8748134516322825E-2</c:v>
                </c:pt>
                <c:pt idx="28">
                  <c:v>5.8426132692858554E-2</c:v>
                </c:pt>
                <c:pt idx="29">
                  <c:v>5.7030838818678008E-2</c:v>
                </c:pt>
                <c:pt idx="30">
                  <c:v>5.5341868256108269E-2</c:v>
                </c:pt>
                <c:pt idx="31">
                  <c:v>5.3219859136033124E-2</c:v>
                </c:pt>
                <c:pt idx="32">
                  <c:v>5.192451668481235E-2</c:v>
                </c:pt>
                <c:pt idx="33">
                  <c:v>5.0351450049194724E-2</c:v>
                </c:pt>
                <c:pt idx="34">
                  <c:v>4.8283278695002721E-2</c:v>
                </c:pt>
                <c:pt idx="35">
                  <c:v>4.6613907947212936E-2</c:v>
                </c:pt>
                <c:pt idx="36">
                  <c:v>4.6574964440975308E-2</c:v>
                </c:pt>
                <c:pt idx="37">
                  <c:v>4.4974150404238709E-2</c:v>
                </c:pt>
                <c:pt idx="38">
                  <c:v>4.318818264913115E-2</c:v>
                </c:pt>
                <c:pt idx="39">
                  <c:v>4.1003183766403765E-2</c:v>
                </c:pt>
                <c:pt idx="40">
                  <c:v>3.9199897791216458E-2</c:v>
                </c:pt>
                <c:pt idx="41">
                  <c:v>3.7752643545013127E-2</c:v>
                </c:pt>
                <c:pt idx="42">
                  <c:v>3.5928732583770225E-2</c:v>
                </c:pt>
                <c:pt idx="43">
                  <c:v>3.3617457212754512E-2</c:v>
                </c:pt>
                <c:pt idx="44">
                  <c:v>3.1131287950869349E-2</c:v>
                </c:pt>
                <c:pt idx="45">
                  <c:v>2.9417442626163103E-2</c:v>
                </c:pt>
                <c:pt idx="46">
                  <c:v>2.9651842854829542E-2</c:v>
                </c:pt>
                <c:pt idx="47">
                  <c:v>2.9555970474411448E-2</c:v>
                </c:pt>
                <c:pt idx="48">
                  <c:v>2.8702752962585246E-2</c:v>
                </c:pt>
                <c:pt idx="49">
                  <c:v>2.7192131457146121E-2</c:v>
                </c:pt>
                <c:pt idx="50">
                  <c:v>2.5646114587189024E-2</c:v>
                </c:pt>
                <c:pt idx="51">
                  <c:v>2.3789354412221013E-2</c:v>
                </c:pt>
                <c:pt idx="52">
                  <c:v>2.1585617923064883E-2</c:v>
                </c:pt>
                <c:pt idx="53">
                  <c:v>1.9388096308636027E-2</c:v>
                </c:pt>
                <c:pt idx="54">
                  <c:v>1.7749188356604554E-2</c:v>
                </c:pt>
                <c:pt idx="55">
                  <c:v>1.6672395539960964E-2</c:v>
                </c:pt>
                <c:pt idx="56">
                  <c:v>1.3829838080168784E-2</c:v>
                </c:pt>
                <c:pt idx="57">
                  <c:v>1.4173448035929475E-2</c:v>
                </c:pt>
                <c:pt idx="58">
                  <c:v>1.5440267090212541E-2</c:v>
                </c:pt>
                <c:pt idx="59">
                  <c:v>1.5938642820525806E-2</c:v>
                </c:pt>
                <c:pt idx="60">
                  <c:v>1.5810155424178553E-2</c:v>
                </c:pt>
                <c:pt idx="61">
                  <c:v>1.6618232805259897E-2</c:v>
                </c:pt>
                <c:pt idx="62">
                  <c:v>1.8920660819830001E-2</c:v>
                </c:pt>
                <c:pt idx="63">
                  <c:v>2.0317747118889375E-2</c:v>
                </c:pt>
                <c:pt idx="64">
                  <c:v>2.042790815219141E-2</c:v>
                </c:pt>
                <c:pt idx="65">
                  <c:v>2.1582651708474388E-2</c:v>
                </c:pt>
                <c:pt idx="66">
                  <c:v>2.486912918647859E-2</c:v>
                </c:pt>
                <c:pt idx="67">
                  <c:v>2.7618038693019629E-2</c:v>
                </c:pt>
                <c:pt idx="68">
                  <c:v>2.9635280647593722E-2</c:v>
                </c:pt>
                <c:pt idx="69">
                  <c:v>3.2009795032096264E-2</c:v>
                </c:pt>
                <c:pt idx="70">
                  <c:v>3.2482329275667722E-2</c:v>
                </c:pt>
                <c:pt idx="71">
                  <c:v>3.3553896780818951E-2</c:v>
                </c:pt>
                <c:pt idx="72">
                  <c:v>3.4860725532352026E-2</c:v>
                </c:pt>
                <c:pt idx="73">
                  <c:v>3.6246937159140388E-2</c:v>
                </c:pt>
                <c:pt idx="74">
                  <c:v>3.7468486181612137E-2</c:v>
                </c:pt>
                <c:pt idx="75">
                  <c:v>3.8123854039303823E-2</c:v>
                </c:pt>
                <c:pt idx="76">
                  <c:v>3.8408773224507878E-2</c:v>
                </c:pt>
                <c:pt idx="77">
                  <c:v>3.730047629750681E-2</c:v>
                </c:pt>
                <c:pt idx="78">
                  <c:v>3.6759088514315544E-2</c:v>
                </c:pt>
                <c:pt idx="79">
                  <c:v>3.6735062896528378E-2</c:v>
                </c:pt>
                <c:pt idx="80">
                  <c:v>3.7578387526462302E-2</c:v>
                </c:pt>
                <c:pt idx="81">
                  <c:v>4.094992598055814E-2</c:v>
                </c:pt>
                <c:pt idx="82">
                  <c:v>4.2614517986629838E-2</c:v>
                </c:pt>
                <c:pt idx="83">
                  <c:v>4.4883522503144702E-2</c:v>
                </c:pt>
                <c:pt idx="84">
                  <c:v>4.6440207360539616E-2</c:v>
                </c:pt>
                <c:pt idx="85">
                  <c:v>4.7642716336025105E-2</c:v>
                </c:pt>
                <c:pt idx="86">
                  <c:v>4.8954737457261449E-2</c:v>
                </c:pt>
                <c:pt idx="87">
                  <c:v>4.9184616095934608E-2</c:v>
                </c:pt>
                <c:pt idx="88">
                  <c:v>5.140208124896823E-2</c:v>
                </c:pt>
                <c:pt idx="89">
                  <c:v>5.1871729313712728E-2</c:v>
                </c:pt>
                <c:pt idx="90">
                  <c:v>5.2511215119211654E-2</c:v>
                </c:pt>
                <c:pt idx="91">
                  <c:v>5.385663275923977E-2</c:v>
                </c:pt>
                <c:pt idx="92">
                  <c:v>5.5287098598487232E-2</c:v>
                </c:pt>
                <c:pt idx="93">
                  <c:v>5.591265924179898E-2</c:v>
                </c:pt>
                <c:pt idx="94">
                  <c:v>5.5283392159165466E-2</c:v>
                </c:pt>
                <c:pt idx="95">
                  <c:v>5.6255310806847397E-2</c:v>
                </c:pt>
                <c:pt idx="96">
                  <c:v>5.6637418976851962E-2</c:v>
                </c:pt>
                <c:pt idx="97">
                  <c:v>5.6192129257738796E-2</c:v>
                </c:pt>
                <c:pt idx="98">
                  <c:v>5.6886821537775682E-2</c:v>
                </c:pt>
                <c:pt idx="99">
                  <c:v>5.9508747211211063E-2</c:v>
                </c:pt>
                <c:pt idx="100">
                  <c:v>6.0909432805437064E-2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96-4E66-B120-ADB94602C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x'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恒力!$H$12:$H$112</c:f>
              <c:numCache>
                <c:formatCode>0.000_ </c:formatCode>
                <c:ptCount val="101"/>
                <c:pt idx="0">
                  <c:v>9.9036673014438865E-4</c:v>
                </c:pt>
                <c:pt idx="1">
                  <c:v>1.1373984874362022E-2</c:v>
                </c:pt>
                <c:pt idx="2">
                  <c:v>-6.7273254129548597E-3</c:v>
                </c:pt>
                <c:pt idx="3">
                  <c:v>2.0677733897029758E-4</c:v>
                </c:pt>
                <c:pt idx="4">
                  <c:v>1.9039424430370117E-2</c:v>
                </c:pt>
                <c:pt idx="5">
                  <c:v>1.6041268773743674E-2</c:v>
                </c:pt>
                <c:pt idx="6">
                  <c:v>-1.5633896895766736E-3</c:v>
                </c:pt>
                <c:pt idx="7">
                  <c:v>2.9099444535668931E-2</c:v>
                </c:pt>
                <c:pt idx="8">
                  <c:v>3.1855173888642174E-2</c:v>
                </c:pt>
                <c:pt idx="9">
                  <c:v>-9.5382378941770429E-3</c:v>
                </c:pt>
                <c:pt idx="10">
                  <c:v>2.637079741207312E-2</c:v>
                </c:pt>
                <c:pt idx="11">
                  <c:v>3.2193220531753976E-2</c:v>
                </c:pt>
                <c:pt idx="12">
                  <c:v>2.2299484704082981E-2</c:v>
                </c:pt>
                <c:pt idx="13">
                  <c:v>2.6778799834884449E-2</c:v>
                </c:pt>
                <c:pt idx="14">
                  <c:v>3.5567688811482506E-2</c:v>
                </c:pt>
                <c:pt idx="15">
                  <c:v>3.5692724309834736E-2</c:v>
                </c:pt>
                <c:pt idx="16">
                  <c:v>4.4596918679811352E-2</c:v>
                </c:pt>
                <c:pt idx="17">
                  <c:v>5.5348283953165579E-2</c:v>
                </c:pt>
                <c:pt idx="18">
                  <c:v>3.6736290139966141E-2</c:v>
                </c:pt>
                <c:pt idx="19">
                  <c:v>5.967265073318926E-2</c:v>
                </c:pt>
                <c:pt idx="20">
                  <c:v>4.3525010642037246E-2</c:v>
                </c:pt>
                <c:pt idx="21">
                  <c:v>6.2980298712105975E-2</c:v>
                </c:pt>
                <c:pt idx="22">
                  <c:v>7.6420592134622128E-2</c:v>
                </c:pt>
                <c:pt idx="23">
                  <c:v>6.6216608780051242E-2</c:v>
                </c:pt>
                <c:pt idx="24">
                  <c:v>4.5797076650784432E-2</c:v>
                </c:pt>
                <c:pt idx="25">
                  <c:v>5.2984835468755348E-2</c:v>
                </c:pt>
                <c:pt idx="26">
                  <c:v>3.8910765379745672E-2</c:v>
                </c:pt>
                <c:pt idx="27">
                  <c:v>4.8557402930382951E-2</c:v>
                </c:pt>
                <c:pt idx="28">
                  <c:v>5.4231506489791192E-2</c:v>
                </c:pt>
                <c:pt idx="29">
                  <c:v>6.6655012395716348E-2</c:v>
                </c:pt>
                <c:pt idx="30">
                  <c:v>6.643206757662673E-2</c:v>
                </c:pt>
                <c:pt idx="31">
                  <c:v>5.4799331999877778E-2</c:v>
                </c:pt>
                <c:pt idx="32">
                  <c:v>4.7992539845359131E-2</c:v>
                </c:pt>
                <c:pt idx="33">
                  <c:v>4.4628595514204589E-2</c:v>
                </c:pt>
                <c:pt idx="34">
                  <c:v>4.5862716042830383E-2</c:v>
                </c:pt>
                <c:pt idx="35">
                  <c:v>5.1702319884074227E-2</c:v>
                </c:pt>
                <c:pt idx="36">
                  <c:v>3.9566439923095005E-2</c:v>
                </c:pt>
                <c:pt idx="37">
                  <c:v>6.4562811256261191E-2</c:v>
                </c:pt>
                <c:pt idx="38">
                  <c:v>2.8905769092307208E-2</c:v>
                </c:pt>
                <c:pt idx="39">
                  <c:v>3.1982188294207743E-2</c:v>
                </c:pt>
                <c:pt idx="40">
                  <c:v>3.0890888696140852E-2</c:v>
                </c:pt>
                <c:pt idx="41">
                  <c:v>4.2038467222524849E-2</c:v>
                </c:pt>
                <c:pt idx="42">
                  <c:v>4.6855777448581833E-2</c:v>
                </c:pt>
                <c:pt idx="43">
                  <c:v>2.4270233240616113E-2</c:v>
                </c:pt>
                <c:pt idx="44">
                  <c:v>3.8164698006350729E-2</c:v>
                </c:pt>
                <c:pt idx="45">
                  <c:v>2.1198182506020968E-2</c:v>
                </c:pt>
                <c:pt idx="46">
                  <c:v>4.0877736684349714E-2</c:v>
                </c:pt>
                <c:pt idx="47">
                  <c:v>2.9085863586201466E-2</c:v>
                </c:pt>
                <c:pt idx="48">
                  <c:v>2.5052737261938893E-2</c:v>
                </c:pt>
                <c:pt idx="49">
                  <c:v>3.4550474009137591E-2</c:v>
                </c:pt>
                <c:pt idx="50">
                  <c:v>3.547846625521367E-2</c:v>
                </c:pt>
                <c:pt idx="51">
                  <c:v>2.7655107933620377E-2</c:v>
                </c:pt>
                <c:pt idx="52">
                  <c:v>1.3773609472687852E-2</c:v>
                </c:pt>
                <c:pt idx="53">
                  <c:v>2.8058887232146411E-2</c:v>
                </c:pt>
                <c:pt idx="54">
                  <c:v>2.0623546994687027E-2</c:v>
                </c:pt>
                <c:pt idx="55">
                  <c:v>1.9521594798253453E-2</c:v>
                </c:pt>
                <c:pt idx="56">
                  <c:v>1.6518409155736821E-2</c:v>
                </c:pt>
                <c:pt idx="57">
                  <c:v>2.462567285956957E-2</c:v>
                </c:pt>
                <c:pt idx="58">
                  <c:v>3.3419962861688503E-2</c:v>
                </c:pt>
                <c:pt idx="59">
                  <c:v>7.1930803907364546E-3</c:v>
                </c:pt>
                <c:pt idx="60">
                  <c:v>1.6709140300603741E-2</c:v>
                </c:pt>
                <c:pt idx="61">
                  <c:v>1.0745298156314425E-2</c:v>
                </c:pt>
                <c:pt idx="62">
                  <c:v>1.6008030188250047E-2</c:v>
                </c:pt>
                <c:pt idx="63">
                  <c:v>3.9239639461773487E-2</c:v>
                </c:pt>
                <c:pt idx="64">
                  <c:v>2.1506065921255233E-2</c:v>
                </c:pt>
                <c:pt idx="65">
                  <c:v>2.7148878341474073E-2</c:v>
                </c:pt>
                <c:pt idx="66">
                  <c:v>2.0394604453275161E-2</c:v>
                </c:pt>
                <c:pt idx="67">
                  <c:v>1.9324905322334336E-2</c:v>
                </c:pt>
                <c:pt idx="68">
                  <c:v>1.8139655006261617E-2</c:v>
                </c:pt>
                <c:pt idx="69">
                  <c:v>3.2035750521940708E-2</c:v>
                </c:pt>
                <c:pt idx="70">
                  <c:v>2.9647851882706414E-2</c:v>
                </c:pt>
                <c:pt idx="71">
                  <c:v>3.8097027563780875E-2</c:v>
                </c:pt>
                <c:pt idx="72">
                  <c:v>2.6581601993379816E-2</c:v>
                </c:pt>
                <c:pt idx="73">
                  <c:v>2.7121293053938844E-2</c:v>
                </c:pt>
                <c:pt idx="74">
                  <c:v>2.8566172591815774E-2</c:v>
                </c:pt>
                <c:pt idx="75">
                  <c:v>4.3987349007312944E-2</c:v>
                </c:pt>
                <c:pt idx="76">
                  <c:v>4.2720885877993275E-2</c:v>
                </c:pt>
                <c:pt idx="77">
                  <c:v>3.1958303353615547E-2</c:v>
                </c:pt>
                <c:pt idx="78">
                  <c:v>3.6355506635665558E-2</c:v>
                </c:pt>
                <c:pt idx="79">
                  <c:v>2.2901570198790508E-2</c:v>
                </c:pt>
                <c:pt idx="80">
                  <c:v>2.5843606060837694E-2</c:v>
                </c:pt>
                <c:pt idx="81">
                  <c:v>3.5262570439724347E-2</c:v>
                </c:pt>
                <c:pt idx="82">
                  <c:v>5.1730604566977048E-2</c:v>
                </c:pt>
                <c:pt idx="83">
                  <c:v>3.3371529684069805E-2</c:v>
                </c:pt>
                <c:pt idx="84">
                  <c:v>4.2630962006508684E-2</c:v>
                </c:pt>
                <c:pt idx="85">
                  <c:v>5.1682138019582435E-2</c:v>
                </c:pt>
                <c:pt idx="86">
                  <c:v>4.898398810465341E-2</c:v>
                </c:pt>
                <c:pt idx="87">
                  <c:v>5.092418005198273E-2</c:v>
                </c:pt>
                <c:pt idx="88">
                  <c:v>5.4169008393339171E-2</c:v>
                </c:pt>
                <c:pt idx="89">
                  <c:v>5.9039832991630431E-2</c:v>
                </c:pt>
                <c:pt idx="90">
                  <c:v>5.272085539232773E-2</c:v>
                </c:pt>
                <c:pt idx="91">
                  <c:v>5.9899187659839551E-2</c:v>
                </c:pt>
                <c:pt idx="92">
                  <c:v>7.124159923503344E-2</c:v>
                </c:pt>
                <c:pt idx="93">
                  <c:v>8.5625182269538996E-2</c:v>
                </c:pt>
                <c:pt idx="94">
                  <c:v>5.3699962345407463E-2</c:v>
                </c:pt>
                <c:pt idx="95">
                  <c:v>5.0906181560007202E-2</c:v>
                </c:pt>
                <c:pt idx="96">
                  <c:v>5.2206264490090762E-2</c:v>
                </c:pt>
                <c:pt idx="97">
                  <c:v>5.5245745623301097E-2</c:v>
                </c:pt>
                <c:pt idx="98">
                  <c:v>6.6690466756149619E-2</c:v>
                </c:pt>
                <c:pt idx="99">
                  <c:v>6.1534606883363367E-2</c:v>
                </c:pt>
                <c:pt idx="100">
                  <c:v>4.986416185969187E-2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21-41F4-B593-D976EFC48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x~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恒力!$I$12:$I$112</c:f>
              <c:numCache>
                <c:formatCode>0.000_ </c:formatCode>
                <c:ptCount val="101"/>
                <c:pt idx="0">
                  <c:v>9.9036673014438865E-4</c:v>
                </c:pt>
                <c:pt idx="1">
                  <c:v>9.9036673014438865E-4</c:v>
                </c:pt>
                <c:pt idx="2">
                  <c:v>2.0287285445661522E-3</c:v>
                </c:pt>
                <c:pt idx="3">
                  <c:v>1.153123148814051E-3</c:v>
                </c:pt>
                <c:pt idx="4">
                  <c:v>1.0584885678296756E-3</c:v>
                </c:pt>
                <c:pt idx="5">
                  <c:v>2.8565821540837196E-3</c:v>
                </c:pt>
                <c:pt idx="6">
                  <c:v>4.1750508160497152E-3</c:v>
                </c:pt>
                <c:pt idx="7">
                  <c:v>3.6012067654870765E-3</c:v>
                </c:pt>
                <c:pt idx="8">
                  <c:v>6.1510305425052621E-3</c:v>
                </c:pt>
                <c:pt idx="9">
                  <c:v>8.7214448771189539E-3</c:v>
                </c:pt>
                <c:pt idx="10">
                  <c:v>6.8954765999893544E-3</c:v>
                </c:pt>
                <c:pt idx="11">
                  <c:v>8.8430086811977313E-3</c:v>
                </c:pt>
                <c:pt idx="12">
                  <c:v>1.1178029866253356E-2</c:v>
                </c:pt>
                <c:pt idx="13">
                  <c:v>1.2290175350036318E-2</c:v>
                </c:pt>
                <c:pt idx="14">
                  <c:v>1.373903779852113E-2</c:v>
                </c:pt>
                <c:pt idx="15">
                  <c:v>1.5921902899817268E-2</c:v>
                </c:pt>
                <c:pt idx="16">
                  <c:v>1.7898985040819014E-2</c:v>
                </c:pt>
                <c:pt idx="17">
                  <c:v>2.0568778404718248E-2</c:v>
                </c:pt>
                <c:pt idx="18">
                  <c:v>2.4046728959562981E-2</c:v>
                </c:pt>
                <c:pt idx="19">
                  <c:v>2.5315685077603296E-2</c:v>
                </c:pt>
                <c:pt idx="20">
                  <c:v>2.8751381643161891E-2</c:v>
                </c:pt>
                <c:pt idx="21">
                  <c:v>3.0228744543049427E-2</c:v>
                </c:pt>
                <c:pt idx="22">
                  <c:v>3.3503899959955084E-2</c:v>
                </c:pt>
                <c:pt idx="23">
                  <c:v>3.7795569177421787E-2</c:v>
                </c:pt>
                <c:pt idx="24">
                  <c:v>4.0637673137684731E-2</c:v>
                </c:pt>
                <c:pt idx="25">
                  <c:v>4.1153613488994698E-2</c:v>
                </c:pt>
                <c:pt idx="26">
                  <c:v>4.2336735686970765E-2</c:v>
                </c:pt>
                <c:pt idx="27">
                  <c:v>4.1994138656248257E-2</c:v>
                </c:pt>
                <c:pt idx="28">
                  <c:v>4.2650465083661729E-2</c:v>
                </c:pt>
                <c:pt idx="29">
                  <c:v>4.3808569224274674E-2</c:v>
                </c:pt>
                <c:pt idx="30">
                  <c:v>4.6093213541418841E-2</c:v>
                </c:pt>
                <c:pt idx="31">
                  <c:v>4.8127098944939634E-2</c:v>
                </c:pt>
                <c:pt idx="32">
                  <c:v>4.8794322250433446E-2</c:v>
                </c:pt>
                <c:pt idx="33">
                  <c:v>4.8714144009926012E-2</c:v>
                </c:pt>
                <c:pt idx="34">
                  <c:v>4.8305589160353872E-2</c:v>
                </c:pt>
                <c:pt idx="35">
                  <c:v>4.8061301848601523E-2</c:v>
                </c:pt>
                <c:pt idx="36">
                  <c:v>4.8425403652148792E-2</c:v>
                </c:pt>
                <c:pt idx="37">
                  <c:v>4.7539507279243415E-2</c:v>
                </c:pt>
                <c:pt idx="38">
                  <c:v>4.9241837676945191E-2</c:v>
                </c:pt>
                <c:pt idx="39">
                  <c:v>4.7208230818481391E-2</c:v>
                </c:pt>
                <c:pt idx="40">
                  <c:v>4.5685626566054023E-2</c:v>
                </c:pt>
                <c:pt idx="41">
                  <c:v>4.4206152779062709E-2</c:v>
                </c:pt>
                <c:pt idx="42">
                  <c:v>4.3989384223408923E-2</c:v>
                </c:pt>
                <c:pt idx="43">
                  <c:v>4.4276023545926212E-2</c:v>
                </c:pt>
                <c:pt idx="44">
                  <c:v>4.2275444515395201E-2</c:v>
                </c:pt>
                <c:pt idx="45">
                  <c:v>4.1864369864490755E-2</c:v>
                </c:pt>
                <c:pt idx="46">
                  <c:v>3.9797751128643775E-2</c:v>
                </c:pt>
                <c:pt idx="47">
                  <c:v>3.990574968421437E-2</c:v>
                </c:pt>
                <c:pt idx="48">
                  <c:v>3.8823761074413078E-2</c:v>
                </c:pt>
                <c:pt idx="49">
                  <c:v>3.7446658693165658E-2</c:v>
                </c:pt>
                <c:pt idx="50">
                  <c:v>3.715704022476285E-2</c:v>
                </c:pt>
                <c:pt idx="51">
                  <c:v>3.6989182827807929E-2</c:v>
                </c:pt>
                <c:pt idx="52">
                  <c:v>3.6055775338389176E-2</c:v>
                </c:pt>
                <c:pt idx="53">
                  <c:v>3.3827558751819045E-2</c:v>
                </c:pt>
                <c:pt idx="54">
                  <c:v>3.3250691599851778E-2</c:v>
                </c:pt>
                <c:pt idx="55">
                  <c:v>3.1987977139335301E-2</c:v>
                </c:pt>
                <c:pt idx="56">
                  <c:v>3.0741338905227115E-2</c:v>
                </c:pt>
                <c:pt idx="57">
                  <c:v>2.9319045930278086E-2</c:v>
                </c:pt>
                <c:pt idx="58">
                  <c:v>2.8849708623207234E-2</c:v>
                </c:pt>
                <c:pt idx="59">
                  <c:v>2.9306734047055361E-2</c:v>
                </c:pt>
                <c:pt idx="60">
                  <c:v>2.7095368681423471E-2</c:v>
                </c:pt>
                <c:pt idx="61">
                  <c:v>2.60567458433415E-2</c:v>
                </c:pt>
                <c:pt idx="62">
                  <c:v>2.4525601074638793E-2</c:v>
                </c:pt>
                <c:pt idx="63">
                  <c:v>2.3673843985999917E-2</c:v>
                </c:pt>
                <c:pt idx="64">
                  <c:v>2.5230423533577274E-2</c:v>
                </c:pt>
                <c:pt idx="65">
                  <c:v>2.4857987772345071E-2</c:v>
                </c:pt>
                <c:pt idx="66">
                  <c:v>2.5087076829257971E-2</c:v>
                </c:pt>
                <c:pt idx="67">
                  <c:v>2.4617829591659691E-2</c:v>
                </c:pt>
                <c:pt idx="68">
                  <c:v>2.4088537164727156E-2</c:v>
                </c:pt>
                <c:pt idx="69">
                  <c:v>2.3493648948880601E-2</c:v>
                </c:pt>
                <c:pt idx="70">
                  <c:v>2.4347859106186611E-2</c:v>
                </c:pt>
                <c:pt idx="71">
                  <c:v>2.4877858383838592E-2</c:v>
                </c:pt>
                <c:pt idx="72">
                  <c:v>2.6199775301832821E-2</c:v>
                </c:pt>
                <c:pt idx="73">
                  <c:v>2.6237957970987519E-2</c:v>
                </c:pt>
                <c:pt idx="74">
                  <c:v>2.632629147928265E-2</c:v>
                </c:pt>
                <c:pt idx="75">
                  <c:v>2.6550279590535963E-2</c:v>
                </c:pt>
                <c:pt idx="76">
                  <c:v>2.8293986532213662E-2</c:v>
                </c:pt>
                <c:pt idx="77">
                  <c:v>2.9736676466791623E-2</c:v>
                </c:pt>
                <c:pt idx="78">
                  <c:v>2.9958839155474017E-2</c:v>
                </c:pt>
                <c:pt idx="79">
                  <c:v>3.0598505903493171E-2</c:v>
                </c:pt>
                <c:pt idx="80">
                  <c:v>2.9828812333022904E-2</c:v>
                </c:pt>
                <c:pt idx="81">
                  <c:v>2.9430291705804384E-2</c:v>
                </c:pt>
                <c:pt idx="82">
                  <c:v>3.0013519579196381E-2</c:v>
                </c:pt>
                <c:pt idx="83">
                  <c:v>3.218522807797445E-2</c:v>
                </c:pt>
                <c:pt idx="84">
                  <c:v>3.2303858238583984E-2</c:v>
                </c:pt>
                <c:pt idx="85">
                  <c:v>3.3336568615376455E-2</c:v>
                </c:pt>
                <c:pt idx="86">
                  <c:v>3.5171125555797052E-2</c:v>
                </c:pt>
                <c:pt idx="87">
                  <c:v>3.6552411810682688E-2</c:v>
                </c:pt>
                <c:pt idx="88">
                  <c:v>3.7989588634812693E-2</c:v>
                </c:pt>
                <c:pt idx="89">
                  <c:v>3.960753061066534E-2</c:v>
                </c:pt>
                <c:pt idx="90">
                  <c:v>4.1550760848761852E-2</c:v>
                </c:pt>
                <c:pt idx="91">
                  <c:v>4.2667770303118441E-2</c:v>
                </c:pt>
                <c:pt idx="92">
                  <c:v>4.4390912038790552E-2</c:v>
                </c:pt>
                <c:pt idx="93">
                  <c:v>4.7075980758414841E-2</c:v>
                </c:pt>
                <c:pt idx="94">
                  <c:v>5.093090090952726E-2</c:v>
                </c:pt>
                <c:pt idx="95">
                  <c:v>5.1207807053115284E-2</c:v>
                </c:pt>
                <c:pt idx="96">
                  <c:v>5.1177644503804479E-2</c:v>
                </c:pt>
                <c:pt idx="97">
                  <c:v>5.1280506502433106E-2</c:v>
                </c:pt>
                <c:pt idx="98">
                  <c:v>5.1677030414519903E-2</c:v>
                </c:pt>
                <c:pt idx="99">
                  <c:v>5.3178374048682878E-2</c:v>
                </c:pt>
                <c:pt idx="100">
                  <c:v>5.4013997332150926E-2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D0-4052-B44D-9B189B9D1F60}"/>
            </c:ext>
          </c:extLst>
        </c:ser>
        <c:ser>
          <c:idx val="0"/>
          <c:order val="1"/>
          <c:marker>
            <c:symbol val="none"/>
          </c:marker>
          <c:val>
            <c:numRef>
              <c:f>恒力!$I$12:$I$112</c:f>
              <c:numCache>
                <c:formatCode>0.000_ </c:formatCode>
                <c:ptCount val="101"/>
                <c:pt idx="0">
                  <c:v>9.9036673014438865E-4</c:v>
                </c:pt>
                <c:pt idx="1">
                  <c:v>9.9036673014438865E-4</c:v>
                </c:pt>
                <c:pt idx="2">
                  <c:v>2.0287285445661522E-3</c:v>
                </c:pt>
                <c:pt idx="3">
                  <c:v>1.153123148814051E-3</c:v>
                </c:pt>
                <c:pt idx="4">
                  <c:v>1.0584885678296756E-3</c:v>
                </c:pt>
                <c:pt idx="5">
                  <c:v>2.8565821540837196E-3</c:v>
                </c:pt>
                <c:pt idx="6">
                  <c:v>4.1750508160497152E-3</c:v>
                </c:pt>
                <c:pt idx="7">
                  <c:v>3.6012067654870765E-3</c:v>
                </c:pt>
                <c:pt idx="8">
                  <c:v>6.1510305425052621E-3</c:v>
                </c:pt>
                <c:pt idx="9">
                  <c:v>8.7214448771189539E-3</c:v>
                </c:pt>
                <c:pt idx="10">
                  <c:v>6.8954765999893544E-3</c:v>
                </c:pt>
                <c:pt idx="11">
                  <c:v>8.8430086811977313E-3</c:v>
                </c:pt>
                <c:pt idx="12">
                  <c:v>1.1178029866253356E-2</c:v>
                </c:pt>
                <c:pt idx="13">
                  <c:v>1.2290175350036318E-2</c:v>
                </c:pt>
                <c:pt idx="14">
                  <c:v>1.373903779852113E-2</c:v>
                </c:pt>
                <c:pt idx="15">
                  <c:v>1.5921902899817268E-2</c:v>
                </c:pt>
                <c:pt idx="16">
                  <c:v>1.7898985040819014E-2</c:v>
                </c:pt>
                <c:pt idx="17">
                  <c:v>2.0568778404718248E-2</c:v>
                </c:pt>
                <c:pt idx="18">
                  <c:v>2.4046728959562981E-2</c:v>
                </c:pt>
                <c:pt idx="19">
                  <c:v>2.5315685077603296E-2</c:v>
                </c:pt>
                <c:pt idx="20">
                  <c:v>2.8751381643161891E-2</c:v>
                </c:pt>
                <c:pt idx="21">
                  <c:v>3.0228744543049427E-2</c:v>
                </c:pt>
                <c:pt idx="22">
                  <c:v>3.3503899959955084E-2</c:v>
                </c:pt>
                <c:pt idx="23">
                  <c:v>3.7795569177421787E-2</c:v>
                </c:pt>
                <c:pt idx="24">
                  <c:v>4.0637673137684731E-2</c:v>
                </c:pt>
                <c:pt idx="25">
                  <c:v>4.1153613488994698E-2</c:v>
                </c:pt>
                <c:pt idx="26">
                  <c:v>4.2336735686970765E-2</c:v>
                </c:pt>
                <c:pt idx="27">
                  <c:v>4.1994138656248257E-2</c:v>
                </c:pt>
                <c:pt idx="28">
                  <c:v>4.2650465083661729E-2</c:v>
                </c:pt>
                <c:pt idx="29">
                  <c:v>4.3808569224274674E-2</c:v>
                </c:pt>
                <c:pt idx="30">
                  <c:v>4.6093213541418841E-2</c:v>
                </c:pt>
                <c:pt idx="31">
                  <c:v>4.8127098944939634E-2</c:v>
                </c:pt>
                <c:pt idx="32">
                  <c:v>4.8794322250433446E-2</c:v>
                </c:pt>
                <c:pt idx="33">
                  <c:v>4.8714144009926012E-2</c:v>
                </c:pt>
                <c:pt idx="34">
                  <c:v>4.8305589160353872E-2</c:v>
                </c:pt>
                <c:pt idx="35">
                  <c:v>4.8061301848601523E-2</c:v>
                </c:pt>
                <c:pt idx="36">
                  <c:v>4.8425403652148792E-2</c:v>
                </c:pt>
                <c:pt idx="37">
                  <c:v>4.7539507279243415E-2</c:v>
                </c:pt>
                <c:pt idx="38">
                  <c:v>4.9241837676945191E-2</c:v>
                </c:pt>
                <c:pt idx="39">
                  <c:v>4.7208230818481391E-2</c:v>
                </c:pt>
                <c:pt idx="40">
                  <c:v>4.5685626566054023E-2</c:v>
                </c:pt>
                <c:pt idx="41">
                  <c:v>4.4206152779062709E-2</c:v>
                </c:pt>
                <c:pt idx="42">
                  <c:v>4.3989384223408923E-2</c:v>
                </c:pt>
                <c:pt idx="43">
                  <c:v>4.4276023545926212E-2</c:v>
                </c:pt>
                <c:pt idx="44">
                  <c:v>4.2275444515395201E-2</c:v>
                </c:pt>
                <c:pt idx="45">
                  <c:v>4.1864369864490755E-2</c:v>
                </c:pt>
                <c:pt idx="46">
                  <c:v>3.9797751128643775E-2</c:v>
                </c:pt>
                <c:pt idx="47">
                  <c:v>3.990574968421437E-2</c:v>
                </c:pt>
                <c:pt idx="48">
                  <c:v>3.8823761074413078E-2</c:v>
                </c:pt>
                <c:pt idx="49">
                  <c:v>3.7446658693165658E-2</c:v>
                </c:pt>
                <c:pt idx="50">
                  <c:v>3.715704022476285E-2</c:v>
                </c:pt>
                <c:pt idx="51">
                  <c:v>3.6989182827807929E-2</c:v>
                </c:pt>
                <c:pt idx="52">
                  <c:v>3.6055775338389176E-2</c:v>
                </c:pt>
                <c:pt idx="53">
                  <c:v>3.3827558751819045E-2</c:v>
                </c:pt>
                <c:pt idx="54">
                  <c:v>3.3250691599851778E-2</c:v>
                </c:pt>
                <c:pt idx="55">
                  <c:v>3.1987977139335301E-2</c:v>
                </c:pt>
                <c:pt idx="56">
                  <c:v>3.0741338905227115E-2</c:v>
                </c:pt>
                <c:pt idx="57">
                  <c:v>2.9319045930278086E-2</c:v>
                </c:pt>
                <c:pt idx="58">
                  <c:v>2.8849708623207234E-2</c:v>
                </c:pt>
                <c:pt idx="59">
                  <c:v>2.9306734047055361E-2</c:v>
                </c:pt>
                <c:pt idx="60">
                  <c:v>2.7095368681423471E-2</c:v>
                </c:pt>
                <c:pt idx="61">
                  <c:v>2.60567458433415E-2</c:v>
                </c:pt>
                <c:pt idx="62">
                  <c:v>2.4525601074638793E-2</c:v>
                </c:pt>
                <c:pt idx="63">
                  <c:v>2.3673843985999917E-2</c:v>
                </c:pt>
                <c:pt idx="64">
                  <c:v>2.5230423533577274E-2</c:v>
                </c:pt>
                <c:pt idx="65">
                  <c:v>2.4857987772345071E-2</c:v>
                </c:pt>
                <c:pt idx="66">
                  <c:v>2.5087076829257971E-2</c:v>
                </c:pt>
                <c:pt idx="67">
                  <c:v>2.4617829591659691E-2</c:v>
                </c:pt>
                <c:pt idx="68">
                  <c:v>2.4088537164727156E-2</c:v>
                </c:pt>
                <c:pt idx="69">
                  <c:v>2.3493648948880601E-2</c:v>
                </c:pt>
                <c:pt idx="70">
                  <c:v>2.4347859106186611E-2</c:v>
                </c:pt>
                <c:pt idx="71">
                  <c:v>2.4877858383838592E-2</c:v>
                </c:pt>
                <c:pt idx="72">
                  <c:v>2.6199775301832821E-2</c:v>
                </c:pt>
                <c:pt idx="73">
                  <c:v>2.6237957970987519E-2</c:v>
                </c:pt>
                <c:pt idx="74">
                  <c:v>2.632629147928265E-2</c:v>
                </c:pt>
                <c:pt idx="75">
                  <c:v>2.6550279590535963E-2</c:v>
                </c:pt>
                <c:pt idx="76">
                  <c:v>2.8293986532213662E-2</c:v>
                </c:pt>
                <c:pt idx="77">
                  <c:v>2.9736676466791623E-2</c:v>
                </c:pt>
                <c:pt idx="78">
                  <c:v>2.9958839155474017E-2</c:v>
                </c:pt>
                <c:pt idx="79">
                  <c:v>3.0598505903493171E-2</c:v>
                </c:pt>
                <c:pt idx="80">
                  <c:v>2.9828812333022904E-2</c:v>
                </c:pt>
                <c:pt idx="81">
                  <c:v>2.9430291705804384E-2</c:v>
                </c:pt>
                <c:pt idx="82">
                  <c:v>3.0013519579196381E-2</c:v>
                </c:pt>
                <c:pt idx="83">
                  <c:v>3.218522807797445E-2</c:v>
                </c:pt>
                <c:pt idx="84">
                  <c:v>3.2303858238583984E-2</c:v>
                </c:pt>
                <c:pt idx="85">
                  <c:v>3.3336568615376455E-2</c:v>
                </c:pt>
                <c:pt idx="86">
                  <c:v>3.5171125555797052E-2</c:v>
                </c:pt>
                <c:pt idx="87">
                  <c:v>3.6552411810682688E-2</c:v>
                </c:pt>
                <c:pt idx="88">
                  <c:v>3.7989588634812693E-2</c:v>
                </c:pt>
                <c:pt idx="89">
                  <c:v>3.960753061066534E-2</c:v>
                </c:pt>
                <c:pt idx="90">
                  <c:v>4.1550760848761852E-2</c:v>
                </c:pt>
                <c:pt idx="91">
                  <c:v>4.2667770303118441E-2</c:v>
                </c:pt>
                <c:pt idx="92">
                  <c:v>4.4390912038790552E-2</c:v>
                </c:pt>
                <c:pt idx="93">
                  <c:v>4.7075980758414841E-2</c:v>
                </c:pt>
                <c:pt idx="94">
                  <c:v>5.093090090952726E-2</c:v>
                </c:pt>
                <c:pt idx="95">
                  <c:v>5.1207807053115284E-2</c:v>
                </c:pt>
                <c:pt idx="96">
                  <c:v>5.1177644503804479E-2</c:v>
                </c:pt>
                <c:pt idx="97">
                  <c:v>5.1280506502433106E-2</c:v>
                </c:pt>
                <c:pt idx="98">
                  <c:v>5.1677030414519903E-2</c:v>
                </c:pt>
                <c:pt idx="99">
                  <c:v>5.3178374048682878E-2</c:v>
                </c:pt>
                <c:pt idx="100">
                  <c:v>5.4013997332150926E-2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D0-4052-B44D-9B189B9D1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v~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恒力!$J$12:$J$112</c:f>
              <c:numCache>
                <c:formatCode>0.000_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D4-4E8D-AA26-359C50445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x-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恒力!$K$12:$K$112</c:f>
              <c:numCache>
                <c:formatCode>0.000_ </c:formatCode>
                <c:ptCount val="101"/>
                <c:pt idx="0">
                  <c:v>9.9036673014438865E-4</c:v>
                </c:pt>
                <c:pt idx="1">
                  <c:v>6.1821758022532055E-3</c:v>
                </c:pt>
                <c:pt idx="2">
                  <c:v>-2.3492984341943537E-3</c:v>
                </c:pt>
                <c:pt idx="3">
                  <c:v>6.7995024389217427E-4</c:v>
                </c:pt>
                <c:pt idx="4">
                  <c:v>1.0048956499099896E-2</c:v>
                </c:pt>
                <c:pt idx="5">
                  <c:v>9.448925463913696E-3</c:v>
                </c:pt>
                <c:pt idx="6">
                  <c:v>1.3058305632365208E-3</c:v>
                </c:pt>
                <c:pt idx="7">
                  <c:v>1.6350325650578004E-2</c:v>
                </c:pt>
                <c:pt idx="8">
                  <c:v>1.9003102215573719E-2</c:v>
                </c:pt>
                <c:pt idx="9">
                  <c:v>-4.0839650852904537E-4</c:v>
                </c:pt>
                <c:pt idx="10">
                  <c:v>1.6633137006031237E-2</c:v>
                </c:pt>
                <c:pt idx="11">
                  <c:v>2.0518114606475853E-2</c:v>
                </c:pt>
                <c:pt idx="12">
                  <c:v>1.6738757285168167E-2</c:v>
                </c:pt>
                <c:pt idx="13">
                  <c:v>1.9534487592460383E-2</c:v>
                </c:pt>
                <c:pt idx="14">
                  <c:v>2.465336330500182E-2</c:v>
                </c:pt>
                <c:pt idx="15">
                  <c:v>2.5807313604826E-2</c:v>
                </c:pt>
                <c:pt idx="16">
                  <c:v>3.1247951860315183E-2</c:v>
                </c:pt>
                <c:pt idx="17">
                  <c:v>3.7958531178941914E-2</c:v>
                </c:pt>
                <c:pt idx="18">
                  <c:v>3.0391509549764561E-2</c:v>
                </c:pt>
                <c:pt idx="19">
                  <c:v>4.2494167905396278E-2</c:v>
                </c:pt>
                <c:pt idx="20">
                  <c:v>3.6138196142599568E-2</c:v>
                </c:pt>
                <c:pt idx="21">
                  <c:v>4.6604521627577701E-2</c:v>
                </c:pt>
                <c:pt idx="22">
                  <c:v>5.496224604728861E-2</c:v>
                </c:pt>
                <c:pt idx="23">
                  <c:v>5.2006088978736514E-2</c:v>
                </c:pt>
                <c:pt idx="24">
                  <c:v>4.3217374894234578E-2</c:v>
                </c:pt>
                <c:pt idx="25">
                  <c:v>4.7069224478875023E-2</c:v>
                </c:pt>
                <c:pt idx="26">
                  <c:v>4.0623750533358219E-2</c:v>
                </c:pt>
                <c:pt idx="27">
                  <c:v>4.5275770793315601E-2</c:v>
                </c:pt>
                <c:pt idx="28">
                  <c:v>4.8440985786726461E-2</c:v>
                </c:pt>
                <c:pt idx="29">
                  <c:v>5.5231790809995511E-2</c:v>
                </c:pt>
                <c:pt idx="30">
                  <c:v>5.6262640559022789E-2</c:v>
                </c:pt>
                <c:pt idx="31">
                  <c:v>5.1463215472408702E-2</c:v>
                </c:pt>
                <c:pt idx="32">
                  <c:v>4.8393431047896285E-2</c:v>
                </c:pt>
                <c:pt idx="33">
                  <c:v>4.6671369762065304E-2</c:v>
                </c:pt>
                <c:pt idx="34">
                  <c:v>4.7084152601592127E-2</c:v>
                </c:pt>
                <c:pt idx="35">
                  <c:v>4.9881810866337875E-2</c:v>
                </c:pt>
                <c:pt idx="36">
                  <c:v>4.3995921787621899E-2</c:v>
                </c:pt>
                <c:pt idx="37">
                  <c:v>5.6051159267752303E-2</c:v>
                </c:pt>
                <c:pt idx="38">
                  <c:v>3.9073803384626196E-2</c:v>
                </c:pt>
                <c:pt idx="39">
                  <c:v>3.9595209556344567E-2</c:v>
                </c:pt>
                <c:pt idx="40">
                  <c:v>3.8288257631097437E-2</c:v>
                </c:pt>
                <c:pt idx="41">
                  <c:v>4.3122310000793779E-2</c:v>
                </c:pt>
                <c:pt idx="42">
                  <c:v>4.5422580835995374E-2</c:v>
                </c:pt>
                <c:pt idx="43">
                  <c:v>3.4273128393271166E-2</c:v>
                </c:pt>
                <c:pt idx="44">
                  <c:v>4.0220071260872965E-2</c:v>
                </c:pt>
                <c:pt idx="45">
                  <c:v>3.1531276185255863E-2</c:v>
                </c:pt>
                <c:pt idx="46">
                  <c:v>4.0337743906496748E-2</c:v>
                </c:pt>
                <c:pt idx="47">
                  <c:v>3.4495806635207918E-2</c:v>
                </c:pt>
                <c:pt idx="48">
                  <c:v>3.1938249168175989E-2</c:v>
                </c:pt>
                <c:pt idx="49">
                  <c:v>3.5998566351151624E-2</c:v>
                </c:pt>
                <c:pt idx="50">
                  <c:v>3.631775323998826E-2</c:v>
                </c:pt>
                <c:pt idx="51">
                  <c:v>3.2322145380714151E-2</c:v>
                </c:pt>
                <c:pt idx="52">
                  <c:v>2.4914692405538515E-2</c:v>
                </c:pt>
                <c:pt idx="53">
                  <c:v>3.0943222991982728E-2</c:v>
                </c:pt>
                <c:pt idx="54">
                  <c:v>2.6937119297269402E-2</c:v>
                </c:pt>
                <c:pt idx="55">
                  <c:v>2.5754785968794377E-2</c:v>
                </c:pt>
                <c:pt idx="56">
                  <c:v>2.3629874030481966E-2</c:v>
                </c:pt>
                <c:pt idx="57">
                  <c:v>2.6972359394923828E-2</c:v>
                </c:pt>
                <c:pt idx="58">
                  <c:v>3.1134835742447867E-2</c:v>
                </c:pt>
                <c:pt idx="59">
                  <c:v>1.8249907218895908E-2</c:v>
                </c:pt>
                <c:pt idx="60">
                  <c:v>2.1902254491013608E-2</c:v>
                </c:pt>
                <c:pt idx="61">
                  <c:v>1.8401021999827964E-2</c:v>
                </c:pt>
                <c:pt idx="62">
                  <c:v>2.0266815631444418E-2</c:v>
                </c:pt>
                <c:pt idx="63">
                  <c:v>3.1456741723886704E-2</c:v>
                </c:pt>
                <c:pt idx="64">
                  <c:v>2.3368244727416256E-2</c:v>
                </c:pt>
                <c:pt idx="65">
                  <c:v>2.6003433056909574E-2</c:v>
                </c:pt>
                <c:pt idx="66">
                  <c:v>2.2740840641266566E-2</c:v>
                </c:pt>
                <c:pt idx="67">
                  <c:v>2.1971367456997015E-2</c:v>
                </c:pt>
                <c:pt idx="68">
                  <c:v>2.1114096085494388E-2</c:v>
                </c:pt>
                <c:pt idx="69">
                  <c:v>2.7764699735410653E-2</c:v>
                </c:pt>
                <c:pt idx="70">
                  <c:v>2.6997855494446513E-2</c:v>
                </c:pt>
                <c:pt idx="71">
                  <c:v>3.1487442973809732E-2</c:v>
                </c:pt>
                <c:pt idx="72">
                  <c:v>2.6390688647606318E-2</c:v>
                </c:pt>
                <c:pt idx="73">
                  <c:v>2.6679625512463181E-2</c:v>
                </c:pt>
                <c:pt idx="74">
                  <c:v>2.744623203554921E-2</c:v>
                </c:pt>
                <c:pt idx="75">
                  <c:v>3.526881429892445E-2</c:v>
                </c:pt>
                <c:pt idx="76">
                  <c:v>3.5507436205103465E-2</c:v>
                </c:pt>
                <c:pt idx="77">
                  <c:v>3.0847489910203585E-2</c:v>
                </c:pt>
                <c:pt idx="78">
                  <c:v>3.3157172895569784E-2</c:v>
                </c:pt>
                <c:pt idx="79">
                  <c:v>2.6750038051141838E-2</c:v>
                </c:pt>
                <c:pt idx="80">
                  <c:v>2.7836209196930299E-2</c:v>
                </c:pt>
                <c:pt idx="81">
                  <c:v>3.2346431072764366E-2</c:v>
                </c:pt>
                <c:pt idx="82">
                  <c:v>4.0872062073086718E-2</c:v>
                </c:pt>
                <c:pt idx="83">
                  <c:v>3.2778378881022127E-2</c:v>
                </c:pt>
                <c:pt idx="84">
                  <c:v>3.7467410122546334E-2</c:v>
                </c:pt>
                <c:pt idx="85">
                  <c:v>4.2509353317479445E-2</c:v>
                </c:pt>
                <c:pt idx="86">
                  <c:v>4.2077556830225231E-2</c:v>
                </c:pt>
                <c:pt idx="87">
                  <c:v>4.3738295931332709E-2</c:v>
                </c:pt>
                <c:pt idx="88">
                  <c:v>4.6079298514075932E-2</c:v>
                </c:pt>
                <c:pt idx="89">
                  <c:v>4.9323681801147885E-2</c:v>
                </c:pt>
                <c:pt idx="90">
                  <c:v>4.7135808120544791E-2</c:v>
                </c:pt>
                <c:pt idx="91">
                  <c:v>5.1283478981478996E-2</c:v>
                </c:pt>
                <c:pt idx="92">
                  <c:v>5.7816255636911992E-2</c:v>
                </c:pt>
                <c:pt idx="93">
                  <c:v>6.6350581513976922E-2</c:v>
                </c:pt>
                <c:pt idx="94">
                  <c:v>5.2315431627467365E-2</c:v>
                </c:pt>
                <c:pt idx="95">
                  <c:v>5.1056994306561243E-2</c:v>
                </c:pt>
                <c:pt idx="96">
                  <c:v>5.169195449694762E-2</c:v>
                </c:pt>
                <c:pt idx="97">
                  <c:v>5.3263126062867101E-2</c:v>
                </c:pt>
                <c:pt idx="98">
                  <c:v>5.9183748585334761E-2</c:v>
                </c:pt>
                <c:pt idx="99">
                  <c:v>5.7356490466023119E-2</c:v>
                </c:pt>
                <c:pt idx="100">
                  <c:v>5.1939079595921395E-2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B4-4C74-BF81-CC122AA24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v-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恒力!$L$12:$L$112</c:f>
              <c:numCache>
                <c:formatCode>0.000_ </c:formatCode>
                <c:ptCount val="101"/>
                <c:pt idx="0">
                  <c:v>0</c:v>
                </c:pt>
                <c:pt idx="1">
                  <c:v>1.0383618144217633E-2</c:v>
                </c:pt>
                <c:pt idx="2">
                  <c:v>-8.7560539575210119E-3</c:v>
                </c:pt>
                <c:pt idx="3">
                  <c:v>-9.4634580984375338E-4</c:v>
                </c:pt>
                <c:pt idx="4">
                  <c:v>1.7980935862540442E-2</c:v>
                </c:pt>
                <c:pt idx="5">
                  <c:v>1.3184686619659956E-2</c:v>
                </c:pt>
                <c:pt idx="6">
                  <c:v>-5.7384405056263889E-3</c:v>
                </c:pt>
                <c:pt idx="7">
                  <c:v>2.5498237770181856E-2</c:v>
                </c:pt>
                <c:pt idx="8">
                  <c:v>2.5704143346136913E-2</c:v>
                </c:pt>
                <c:pt idx="9">
                  <c:v>-1.8259682771295999E-2</c:v>
                </c:pt>
                <c:pt idx="10">
                  <c:v>1.9475320812083766E-2</c:v>
                </c:pt>
                <c:pt idx="11">
                  <c:v>2.3350211850556243E-2</c:v>
                </c:pt>
                <c:pt idx="12">
                  <c:v>1.1121454837829623E-2</c:v>
                </c:pt>
                <c:pt idx="13">
                  <c:v>1.4488624484848131E-2</c:v>
                </c:pt>
                <c:pt idx="14">
                  <c:v>2.1828651012961376E-2</c:v>
                </c:pt>
                <c:pt idx="15">
                  <c:v>1.9770821410017469E-2</c:v>
                </c:pt>
                <c:pt idx="16">
                  <c:v>2.6697933638992338E-2</c:v>
                </c:pt>
                <c:pt idx="17">
                  <c:v>3.4779505548447331E-2</c:v>
                </c:pt>
                <c:pt idx="18">
                  <c:v>1.2689561180403161E-2</c:v>
                </c:pt>
                <c:pt idx="19">
                  <c:v>3.4356965655585964E-2</c:v>
                </c:pt>
                <c:pt idx="20">
                  <c:v>1.4773628998875354E-2</c:v>
                </c:pt>
                <c:pt idx="21">
                  <c:v>3.2751554169056549E-2</c:v>
                </c:pt>
                <c:pt idx="22">
                  <c:v>4.2916692174667044E-2</c:v>
                </c:pt>
                <c:pt idx="23">
                  <c:v>2.8421039602629459E-2</c:v>
                </c:pt>
                <c:pt idx="24">
                  <c:v>5.1594035130997015E-3</c:v>
                </c:pt>
                <c:pt idx="25">
                  <c:v>1.1831221979760652E-2</c:v>
                </c:pt>
                <c:pt idx="26">
                  <c:v>-3.425970307225093E-3</c:v>
                </c:pt>
                <c:pt idx="27">
                  <c:v>6.5632642741346933E-3</c:v>
                </c:pt>
                <c:pt idx="28">
                  <c:v>1.1581041406129464E-2</c:v>
                </c:pt>
                <c:pt idx="29">
                  <c:v>2.2846443171441674E-2</c:v>
                </c:pt>
                <c:pt idx="30">
                  <c:v>2.0338854035207889E-2</c:v>
                </c:pt>
                <c:pt idx="31">
                  <c:v>6.6722330549381448E-3</c:v>
                </c:pt>
                <c:pt idx="32">
                  <c:v>-8.0178240507431525E-4</c:v>
                </c:pt>
                <c:pt idx="33">
                  <c:v>-4.0855484957214236E-3</c:v>
                </c:pt>
                <c:pt idx="34">
                  <c:v>-2.4428731175234891E-3</c:v>
                </c:pt>
                <c:pt idx="35">
                  <c:v>3.641018035472704E-3</c:v>
                </c:pt>
                <c:pt idx="36">
                  <c:v>-8.858963729053787E-3</c:v>
                </c:pt>
                <c:pt idx="37">
                  <c:v>1.7023303977017776E-2</c:v>
                </c:pt>
                <c:pt idx="38">
                  <c:v>-2.0336068584637979E-2</c:v>
                </c:pt>
                <c:pt idx="39">
                  <c:v>-1.5226042524273649E-2</c:v>
                </c:pt>
                <c:pt idx="40">
                  <c:v>-1.4794737869913172E-2</c:v>
                </c:pt>
                <c:pt idx="41">
                  <c:v>-2.16768555653786E-3</c:v>
                </c:pt>
                <c:pt idx="42">
                  <c:v>2.8663932251729099E-3</c:v>
                </c:pt>
                <c:pt idx="43">
                  <c:v>-2.0005790305310099E-2</c:v>
                </c:pt>
                <c:pt idx="44">
                  <c:v>-4.1107465090444717E-3</c:v>
                </c:pt>
                <c:pt idx="45">
                  <c:v>-2.0666187358469788E-2</c:v>
                </c:pt>
                <c:pt idx="46">
                  <c:v>1.0799855557059382E-3</c:v>
                </c:pt>
                <c:pt idx="47">
                  <c:v>-1.0819886098012904E-2</c:v>
                </c:pt>
                <c:pt idx="48">
                  <c:v>-1.3771023812474185E-2</c:v>
                </c:pt>
                <c:pt idx="49">
                  <c:v>-2.8961846840280664E-3</c:v>
                </c:pt>
                <c:pt idx="50">
                  <c:v>-1.6785739695491797E-3</c:v>
                </c:pt>
                <c:pt idx="51">
                  <c:v>-9.3340748941875516E-3</c:v>
                </c:pt>
                <c:pt idx="52">
                  <c:v>-2.2282165865701319E-2</c:v>
                </c:pt>
                <c:pt idx="53">
                  <c:v>-5.7686715196726343E-3</c:v>
                </c:pt>
                <c:pt idx="54">
                  <c:v>-1.2627144605164752E-2</c:v>
                </c:pt>
                <c:pt idx="55">
                  <c:v>-1.2466382341081848E-2</c:v>
                </c:pt>
                <c:pt idx="56">
                  <c:v>-1.4222929749490295E-2</c:v>
                </c:pt>
                <c:pt idx="57">
                  <c:v>-4.6933730707085161E-3</c:v>
                </c:pt>
                <c:pt idx="58">
                  <c:v>4.5702542384812687E-3</c:v>
                </c:pt>
                <c:pt idx="59">
                  <c:v>-2.2113653656318902E-2</c:v>
                </c:pt>
                <c:pt idx="60">
                  <c:v>-1.0386228380819731E-2</c:v>
                </c:pt>
                <c:pt idx="61">
                  <c:v>-1.5311447687027075E-2</c:v>
                </c:pt>
                <c:pt idx="62">
                  <c:v>-8.5175708863887457E-3</c:v>
                </c:pt>
                <c:pt idx="63">
                  <c:v>1.556579547577357E-2</c:v>
                </c:pt>
                <c:pt idx="64">
                  <c:v>-3.7243576123220418E-3</c:v>
                </c:pt>
                <c:pt idx="65">
                  <c:v>2.2908905691290012E-3</c:v>
                </c:pt>
                <c:pt idx="66">
                  <c:v>-4.6924723759828105E-3</c:v>
                </c:pt>
                <c:pt idx="67">
                  <c:v>-5.2929242693253538E-3</c:v>
                </c:pt>
                <c:pt idx="68">
                  <c:v>-5.9488821584655384E-3</c:v>
                </c:pt>
                <c:pt idx="69">
                  <c:v>8.5421015730601062E-3</c:v>
                </c:pt>
                <c:pt idx="70">
                  <c:v>5.2999927765198032E-3</c:v>
                </c:pt>
                <c:pt idx="71">
                  <c:v>1.3219169179942283E-2</c:v>
                </c:pt>
                <c:pt idx="72">
                  <c:v>3.8182669154699506E-4</c:v>
                </c:pt>
                <c:pt idx="73">
                  <c:v>8.8333508295132535E-4</c:v>
                </c:pt>
                <c:pt idx="74">
                  <c:v>2.2398811125331243E-3</c:v>
                </c:pt>
                <c:pt idx="75">
                  <c:v>1.743706941677698E-2</c:v>
                </c:pt>
                <c:pt idx="76">
                  <c:v>1.4426899345779615E-2</c:v>
                </c:pt>
                <c:pt idx="77">
                  <c:v>2.2216268868239242E-3</c:v>
                </c:pt>
                <c:pt idx="78">
                  <c:v>6.396667480191541E-3</c:v>
                </c:pt>
                <c:pt idx="79">
                  <c:v>-7.6969357047026628E-3</c:v>
                </c:pt>
                <c:pt idx="80">
                  <c:v>-3.98520627218521E-3</c:v>
                </c:pt>
                <c:pt idx="81">
                  <c:v>5.8322787339199628E-3</c:v>
                </c:pt>
                <c:pt idx="82">
                  <c:v>2.1717084987780664E-2</c:v>
                </c:pt>
                <c:pt idx="83">
                  <c:v>1.1863016060953552E-3</c:v>
                </c:pt>
                <c:pt idx="84">
                  <c:v>1.03271037679247E-2</c:v>
                </c:pt>
                <c:pt idx="85">
                  <c:v>1.834556940420598E-2</c:v>
                </c:pt>
                <c:pt idx="86">
                  <c:v>1.3812862548856358E-2</c:v>
                </c:pt>
                <c:pt idx="87">
                  <c:v>1.4371768241300042E-2</c:v>
                </c:pt>
                <c:pt idx="88">
                  <c:v>1.6179419758526478E-2</c:v>
                </c:pt>
                <c:pt idx="89">
                  <c:v>1.9432302380965091E-2</c:v>
                </c:pt>
                <c:pt idx="90">
                  <c:v>1.1170094543565878E-2</c:v>
                </c:pt>
                <c:pt idx="91">
                  <c:v>1.723141735672111E-2</c:v>
                </c:pt>
                <c:pt idx="92">
                  <c:v>2.6850687196242888E-2</c:v>
                </c:pt>
                <c:pt idx="93">
                  <c:v>3.8549201511124155E-2</c:v>
                </c:pt>
                <c:pt idx="94">
                  <c:v>2.7690614358802032E-3</c:v>
                </c:pt>
                <c:pt idx="95">
                  <c:v>-3.0162549310808195E-4</c:v>
                </c:pt>
                <c:pt idx="96">
                  <c:v>1.0286199862862833E-3</c:v>
                </c:pt>
                <c:pt idx="97">
                  <c:v>3.9652391208679916E-3</c:v>
                </c:pt>
                <c:pt idx="98">
                  <c:v>1.5013436341629717E-2</c:v>
                </c:pt>
                <c:pt idx="99">
                  <c:v>8.3562328346804896E-3</c:v>
                </c:pt>
                <c:pt idx="100">
                  <c:v>-4.1498354724590555E-3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81-42C0-B558-03D2F83E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正弦力!$C$12:$C$112</c:f>
              <c:numCache>
                <c:formatCode>0.000_ </c:formatCode>
                <c:ptCount val="101"/>
                <c:pt idx="0">
                  <c:v>10</c:v>
                </c:pt>
                <c:pt idx="1">
                  <c:v>10.125581039058627</c:v>
                </c:pt>
                <c:pt idx="2">
                  <c:v>10.250666467128609</c:v>
                </c:pt>
                <c:pt idx="3">
                  <c:v>10.37476262917145</c:v>
                </c:pt>
                <c:pt idx="4">
                  <c:v>10.49737977432971</c:v>
                </c:pt>
                <c:pt idx="5">
                  <c:v>10.618033988749895</c:v>
                </c:pt>
                <c:pt idx="6">
                  <c:v>10.736249105369357</c:v>
                </c:pt>
                <c:pt idx="7">
                  <c:v>10.851558583130146</c:v>
                </c:pt>
                <c:pt idx="8">
                  <c:v>10.96350734820343</c:v>
                </c:pt>
                <c:pt idx="9">
                  <c:v>11.071653589957993</c:v>
                </c:pt>
                <c:pt idx="10">
                  <c:v>11.175570504584947</c:v>
                </c:pt>
                <c:pt idx="11">
                  <c:v>11.27484797949738</c:v>
                </c:pt>
                <c:pt idx="12">
                  <c:v>11.369094211857377</c:v>
                </c:pt>
                <c:pt idx="13">
                  <c:v>11.457937254842824</c:v>
                </c:pt>
                <c:pt idx="14">
                  <c:v>11.541026485551578</c:v>
                </c:pt>
                <c:pt idx="15">
                  <c:v>11.618033988749895</c:v>
                </c:pt>
                <c:pt idx="16">
                  <c:v>11.688655851004031</c:v>
                </c:pt>
                <c:pt idx="17">
                  <c:v>11.752613360087727</c:v>
                </c:pt>
                <c:pt idx="18">
                  <c:v>11.80965410493204</c:v>
                </c:pt>
                <c:pt idx="19">
                  <c:v>11.859552971776502</c:v>
                </c:pt>
                <c:pt idx="20">
                  <c:v>11.902113032590307</c:v>
                </c:pt>
                <c:pt idx="21">
                  <c:v>11.937166322257262</c:v>
                </c:pt>
                <c:pt idx="22">
                  <c:v>11.964574501457378</c:v>
                </c:pt>
                <c:pt idx="23">
                  <c:v>11.984229402628955</c:v>
                </c:pt>
                <c:pt idx="24">
                  <c:v>11.996053456856544</c:v>
                </c:pt>
                <c:pt idx="25">
                  <c:v>12</c:v>
                </c:pt>
                <c:pt idx="26">
                  <c:v>11.996053456856544</c:v>
                </c:pt>
                <c:pt idx="27">
                  <c:v>11.984229402628955</c:v>
                </c:pt>
                <c:pt idx="28">
                  <c:v>11.964574501457378</c:v>
                </c:pt>
                <c:pt idx="29">
                  <c:v>11.937166322257262</c:v>
                </c:pt>
                <c:pt idx="30">
                  <c:v>11.902113032590307</c:v>
                </c:pt>
                <c:pt idx="31">
                  <c:v>11.859552971776502</c:v>
                </c:pt>
                <c:pt idx="32">
                  <c:v>11.809654104932038</c:v>
                </c:pt>
                <c:pt idx="33">
                  <c:v>11.752613360087727</c:v>
                </c:pt>
                <c:pt idx="34">
                  <c:v>11.688655851004031</c:v>
                </c:pt>
                <c:pt idx="35">
                  <c:v>11.618033988749895</c:v>
                </c:pt>
                <c:pt idx="36">
                  <c:v>11.541026485551578</c:v>
                </c:pt>
                <c:pt idx="37">
                  <c:v>11.457937254842824</c:v>
                </c:pt>
                <c:pt idx="38">
                  <c:v>11.369094211857378</c:v>
                </c:pt>
                <c:pt idx="39">
                  <c:v>11.274847979497379</c:v>
                </c:pt>
                <c:pt idx="40">
                  <c:v>11.175570504584947</c:v>
                </c:pt>
                <c:pt idx="41">
                  <c:v>11.071653589957993</c:v>
                </c:pt>
                <c:pt idx="42">
                  <c:v>10.96350734820343</c:v>
                </c:pt>
                <c:pt idx="43">
                  <c:v>10.851558583130146</c:v>
                </c:pt>
                <c:pt idx="44">
                  <c:v>10.736249105369355</c:v>
                </c:pt>
                <c:pt idx="45">
                  <c:v>10.618033988749895</c:v>
                </c:pt>
                <c:pt idx="46">
                  <c:v>10.497379774329708</c:v>
                </c:pt>
                <c:pt idx="47">
                  <c:v>10.37476262917145</c:v>
                </c:pt>
                <c:pt idx="48">
                  <c:v>10.250666467128609</c:v>
                </c:pt>
                <c:pt idx="49">
                  <c:v>10.125581039058627</c:v>
                </c:pt>
                <c:pt idx="50">
                  <c:v>10</c:v>
                </c:pt>
                <c:pt idx="51">
                  <c:v>9.8744189609413731</c:v>
                </c:pt>
                <c:pt idx="52">
                  <c:v>9.7493335328713915</c:v>
                </c:pt>
                <c:pt idx="53">
                  <c:v>9.6252373708285504</c:v>
                </c:pt>
                <c:pt idx="54">
                  <c:v>9.5026202256702916</c:v>
                </c:pt>
                <c:pt idx="55">
                  <c:v>9.3819660112501069</c:v>
                </c:pt>
                <c:pt idx="56">
                  <c:v>9.2637508946306433</c:v>
                </c:pt>
                <c:pt idx="57">
                  <c:v>9.1484414168698542</c:v>
                </c:pt>
                <c:pt idx="58">
                  <c:v>9.0364926517965678</c:v>
                </c:pt>
                <c:pt idx="59">
                  <c:v>8.9283464100420069</c:v>
                </c:pt>
                <c:pt idx="60">
                  <c:v>8.8244294954150533</c:v>
                </c:pt>
                <c:pt idx="61">
                  <c:v>8.7251520205026196</c:v>
                </c:pt>
                <c:pt idx="62">
                  <c:v>8.6309057881426234</c:v>
                </c:pt>
                <c:pt idx="63">
                  <c:v>8.5420627451571765</c:v>
                </c:pt>
                <c:pt idx="64">
                  <c:v>8.4589735144484219</c:v>
                </c:pt>
                <c:pt idx="65">
                  <c:v>8.3819660112501051</c:v>
                </c:pt>
                <c:pt idx="66">
                  <c:v>8.3113441489959712</c:v>
                </c:pt>
                <c:pt idx="67">
                  <c:v>8.2473866399122731</c:v>
                </c:pt>
                <c:pt idx="68">
                  <c:v>8.19034589506796</c:v>
                </c:pt>
                <c:pt idx="69">
                  <c:v>8.1404470282234964</c:v>
                </c:pt>
                <c:pt idx="70">
                  <c:v>8.0978869674096927</c:v>
                </c:pt>
                <c:pt idx="71">
                  <c:v>8.0628336777427378</c:v>
                </c:pt>
                <c:pt idx="72">
                  <c:v>8.0354254985426223</c:v>
                </c:pt>
                <c:pt idx="73">
                  <c:v>8.0157705973710449</c:v>
                </c:pt>
                <c:pt idx="74">
                  <c:v>8.0039465431434564</c:v>
                </c:pt>
                <c:pt idx="75">
                  <c:v>8</c:v>
                </c:pt>
                <c:pt idx="76">
                  <c:v>8.0039465431434564</c:v>
                </c:pt>
                <c:pt idx="77">
                  <c:v>8.0157705973710449</c:v>
                </c:pt>
                <c:pt idx="78">
                  <c:v>8.0354254985426223</c:v>
                </c:pt>
                <c:pt idx="79">
                  <c:v>8.0628336777427378</c:v>
                </c:pt>
                <c:pt idx="80">
                  <c:v>8.0978869674096927</c:v>
                </c:pt>
                <c:pt idx="81">
                  <c:v>8.1404470282234964</c:v>
                </c:pt>
                <c:pt idx="82">
                  <c:v>8.1903458950679617</c:v>
                </c:pt>
                <c:pt idx="83">
                  <c:v>8.2473866399122731</c:v>
                </c:pt>
                <c:pt idx="84">
                  <c:v>8.3113441489959694</c:v>
                </c:pt>
                <c:pt idx="85">
                  <c:v>8.3819660112501051</c:v>
                </c:pt>
                <c:pt idx="86">
                  <c:v>8.4589735144484202</c:v>
                </c:pt>
                <c:pt idx="87">
                  <c:v>8.5420627451571765</c:v>
                </c:pt>
                <c:pt idx="88">
                  <c:v>8.6309057881426234</c:v>
                </c:pt>
                <c:pt idx="89">
                  <c:v>8.7251520205026214</c:v>
                </c:pt>
                <c:pt idx="90">
                  <c:v>8.8244294954150533</c:v>
                </c:pt>
                <c:pt idx="91">
                  <c:v>8.9283464100420051</c:v>
                </c:pt>
                <c:pt idx="92">
                  <c:v>9.0364926517965714</c:v>
                </c:pt>
                <c:pt idx="93">
                  <c:v>9.148441416869856</c:v>
                </c:pt>
                <c:pt idx="94">
                  <c:v>9.263750894630645</c:v>
                </c:pt>
                <c:pt idx="95">
                  <c:v>9.3819660112501051</c:v>
                </c:pt>
                <c:pt idx="96">
                  <c:v>9.5026202256702916</c:v>
                </c:pt>
                <c:pt idx="97">
                  <c:v>9.6252373708285504</c:v>
                </c:pt>
                <c:pt idx="98">
                  <c:v>9.7493335328713933</c:v>
                </c:pt>
                <c:pt idx="99">
                  <c:v>9.8744189609413731</c:v>
                </c:pt>
                <c:pt idx="10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8F-4F84-81F3-74729CD9F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37192"/>
        <c:axId val="455544392"/>
      </c:lineChart>
      <c:catAx>
        <c:axId val="455537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44392"/>
        <c:crosses val="autoZero"/>
        <c:auto val="1"/>
        <c:lblAlgn val="ctr"/>
        <c:lblOffset val="100"/>
        <c:noMultiLvlLbl val="0"/>
      </c:catAx>
      <c:valAx>
        <c:axId val="455544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37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r>
              <a:rPr lang="zh-CN" altLang="en-US"/>
              <a:t>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正弦力!$D$12:$D$112</c:f>
              <c:numCache>
                <c:formatCode>0.000_ </c:formatCode>
                <c:ptCount val="101"/>
                <c:pt idx="0">
                  <c:v>10.150529850961682</c:v>
                </c:pt>
                <c:pt idx="1">
                  <c:v>10.109555340690934</c:v>
                </c:pt>
                <c:pt idx="2">
                  <c:v>10.301029343598797</c:v>
                </c:pt>
                <c:pt idx="3">
                  <c:v>10.314770567467988</c:v>
                </c:pt>
                <c:pt idx="4">
                  <c:v>10.502190187633735</c:v>
                </c:pt>
                <c:pt idx="5">
                  <c:v>10.78759649284415</c:v>
                </c:pt>
                <c:pt idx="6">
                  <c:v>10.766953964169611</c:v>
                </c:pt>
                <c:pt idx="7">
                  <c:v>10.728805849384273</c:v>
                </c:pt>
                <c:pt idx="8">
                  <c:v>11.049823911366259</c:v>
                </c:pt>
                <c:pt idx="9">
                  <c:v>11.212515735793056</c:v>
                </c:pt>
                <c:pt idx="10">
                  <c:v>11.184601683408484</c:v>
                </c:pt>
                <c:pt idx="11">
                  <c:v>11.130711293618456</c:v>
                </c:pt>
                <c:pt idx="12">
                  <c:v>11.422750224806331</c:v>
                </c:pt>
                <c:pt idx="13">
                  <c:v>11.388397725661807</c:v>
                </c:pt>
                <c:pt idx="14">
                  <c:v>11.647319684299882</c:v>
                </c:pt>
                <c:pt idx="15">
                  <c:v>11.585062531170681</c:v>
                </c:pt>
                <c:pt idx="16">
                  <c:v>11.701065301005464</c:v>
                </c:pt>
                <c:pt idx="17">
                  <c:v>11.730855322573349</c:v>
                </c:pt>
                <c:pt idx="18">
                  <c:v>11.936321845325025</c:v>
                </c:pt>
                <c:pt idx="19">
                  <c:v>11.857150727620823</c:v>
                </c:pt>
                <c:pt idx="20">
                  <c:v>12.17671737992614</c:v>
                </c:pt>
                <c:pt idx="21">
                  <c:v>11.998954377798192</c:v>
                </c:pt>
                <c:pt idx="22">
                  <c:v>11.940287322111724</c:v>
                </c:pt>
                <c:pt idx="23">
                  <c:v>11.983033624806684</c:v>
                </c:pt>
                <c:pt idx="24">
                  <c:v>11.9602031884216</c:v>
                </c:pt>
                <c:pt idx="25">
                  <c:v>12.085240077073117</c:v>
                </c:pt>
                <c:pt idx="26">
                  <c:v>12.005124682102345</c:v>
                </c:pt>
                <c:pt idx="27">
                  <c:v>11.940072730685635</c:v>
                </c:pt>
                <c:pt idx="28">
                  <c:v>11.933873951735421</c:v>
                </c:pt>
                <c:pt idx="29">
                  <c:v>12.019946464493668</c:v>
                </c:pt>
                <c:pt idx="30">
                  <c:v>11.855642793470778</c:v>
                </c:pt>
                <c:pt idx="31">
                  <c:v>11.799202293259421</c:v>
                </c:pt>
                <c:pt idx="32">
                  <c:v>11.791228346249492</c:v>
                </c:pt>
                <c:pt idx="33">
                  <c:v>11.666721086509154</c:v>
                </c:pt>
                <c:pt idx="34">
                  <c:v>11.653439964286946</c:v>
                </c:pt>
                <c:pt idx="35">
                  <c:v>11.617852513812446</c:v>
                </c:pt>
                <c:pt idx="36">
                  <c:v>11.522914060641165</c:v>
                </c:pt>
                <c:pt idx="37">
                  <c:v>11.490787513805993</c:v>
                </c:pt>
                <c:pt idx="38">
                  <c:v>11.422824428806887</c:v>
                </c:pt>
                <c:pt idx="39">
                  <c:v>11.135491800344672</c:v>
                </c:pt>
                <c:pt idx="40">
                  <c:v>11.160498760519223</c:v>
                </c:pt>
                <c:pt idx="41">
                  <c:v>11.078361354171957</c:v>
                </c:pt>
                <c:pt idx="42">
                  <c:v>10.746841022430466</c:v>
                </c:pt>
                <c:pt idx="43">
                  <c:v>10.832267001694499</c:v>
                </c:pt>
                <c:pt idx="44">
                  <c:v>10.715988098147216</c:v>
                </c:pt>
                <c:pt idx="45">
                  <c:v>10.637549468866116</c:v>
                </c:pt>
                <c:pt idx="46">
                  <c:v>10.486505291017815</c:v>
                </c:pt>
                <c:pt idx="47">
                  <c:v>10.371379472617841</c:v>
                </c:pt>
                <c:pt idx="48">
                  <c:v>10.249880970904028</c:v>
                </c:pt>
                <c:pt idx="49">
                  <c:v>10.133825481582713</c:v>
                </c:pt>
                <c:pt idx="50">
                  <c:v>9.9876234353712832</c:v>
                </c:pt>
                <c:pt idx="51">
                  <c:v>9.8671820926415155</c:v>
                </c:pt>
                <c:pt idx="52">
                  <c:v>9.9295030417615742</c:v>
                </c:pt>
                <c:pt idx="53">
                  <c:v>9.6860951806422442</c:v>
                </c:pt>
                <c:pt idx="54">
                  <c:v>9.4776427679441362</c:v>
                </c:pt>
                <c:pt idx="55">
                  <c:v>9.2715346228976809</c:v>
                </c:pt>
                <c:pt idx="56">
                  <c:v>9.2920387595580127</c:v>
                </c:pt>
                <c:pt idx="57">
                  <c:v>9.19412724593432</c:v>
                </c:pt>
                <c:pt idx="58">
                  <c:v>8.8942175265983927</c:v>
                </c:pt>
                <c:pt idx="59">
                  <c:v>8.9192170446882013</c:v>
                </c:pt>
                <c:pt idx="60">
                  <c:v>8.9557710604939373</c:v>
                </c:pt>
                <c:pt idx="61">
                  <c:v>8.6281487200270632</c:v>
                </c:pt>
                <c:pt idx="62">
                  <c:v>8.7189352174863135</c:v>
                </c:pt>
                <c:pt idx="63">
                  <c:v>8.6702137982150003</c:v>
                </c:pt>
                <c:pt idx="64">
                  <c:v>8.4052687998649578</c:v>
                </c:pt>
                <c:pt idx="65">
                  <c:v>8.226949017858745</c:v>
                </c:pt>
                <c:pt idx="66">
                  <c:v>8.2933746153693786</c:v>
                </c:pt>
                <c:pt idx="67">
                  <c:v>8.2773340037706156</c:v>
                </c:pt>
                <c:pt idx="68">
                  <c:v>8.1657601400987403</c:v>
                </c:pt>
                <c:pt idx="69">
                  <c:v>8.2137709691949219</c:v>
                </c:pt>
                <c:pt idx="70">
                  <c:v>8.1022535603726666</c:v>
                </c:pt>
                <c:pt idx="71">
                  <c:v>8.0256143916714517</c:v>
                </c:pt>
                <c:pt idx="72">
                  <c:v>8.192734603713193</c:v>
                </c:pt>
                <c:pt idx="73">
                  <c:v>7.8947719332937973</c:v>
                </c:pt>
                <c:pt idx="74">
                  <c:v>8.0001543745449677</c:v>
                </c:pt>
                <c:pt idx="75">
                  <c:v>8.1034280295767829</c:v>
                </c:pt>
                <c:pt idx="76">
                  <c:v>8.0595713662411015</c:v>
                </c:pt>
                <c:pt idx="77">
                  <c:v>7.9675325356784636</c:v>
                </c:pt>
                <c:pt idx="78">
                  <c:v>8.0091161019282406</c:v>
                </c:pt>
                <c:pt idx="79">
                  <c:v>8.0159938711062875</c:v>
                </c:pt>
                <c:pt idx="80">
                  <c:v>8.1775783781089668</c:v>
                </c:pt>
                <c:pt idx="81">
                  <c:v>8.0268230903044291</c:v>
                </c:pt>
                <c:pt idx="82">
                  <c:v>8.067594264515801</c:v>
                </c:pt>
                <c:pt idx="83">
                  <c:v>8.3878153476412916</c:v>
                </c:pt>
                <c:pt idx="84">
                  <c:v>8.5059755455340884</c:v>
                </c:pt>
                <c:pt idx="85">
                  <c:v>8.3771348310467406</c:v>
                </c:pt>
                <c:pt idx="86">
                  <c:v>8.3180793882958088</c:v>
                </c:pt>
                <c:pt idx="87">
                  <c:v>8.399795957221432</c:v>
                </c:pt>
                <c:pt idx="88">
                  <c:v>8.7016913059402476</c:v>
                </c:pt>
                <c:pt idx="89">
                  <c:v>8.6573580270775281</c:v>
                </c:pt>
                <c:pt idx="90">
                  <c:v>8.894097651086101</c:v>
                </c:pt>
                <c:pt idx="91">
                  <c:v>8.9616699830518396</c:v>
                </c:pt>
                <c:pt idx="92">
                  <c:v>9.0869132878897911</c:v>
                </c:pt>
                <c:pt idx="93">
                  <c:v>9.3157169571246659</c:v>
                </c:pt>
                <c:pt idx="94">
                  <c:v>9.1240836990847356</c:v>
                </c:pt>
                <c:pt idx="95">
                  <c:v>9.3206665602337608</c:v>
                </c:pt>
                <c:pt idx="96">
                  <c:v>9.3396993669834991</c:v>
                </c:pt>
                <c:pt idx="97">
                  <c:v>9.916640548491916</c:v>
                </c:pt>
                <c:pt idx="98">
                  <c:v>9.5887345766327154</c:v>
                </c:pt>
                <c:pt idx="99">
                  <c:v>9.990960960173437</c:v>
                </c:pt>
                <c:pt idx="100">
                  <c:v>10.026026467932091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78-450B-A579-CA49F12174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37192"/>
        <c:axId val="455544392"/>
      </c:lineChart>
      <c:catAx>
        <c:axId val="455537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44392"/>
        <c:crosses val="autoZero"/>
        <c:auto val="1"/>
        <c:lblAlgn val="ctr"/>
        <c:lblOffset val="100"/>
        <c:noMultiLvlLbl val="0"/>
      </c:catAx>
      <c:valAx>
        <c:axId val="455544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37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正弦力!$E$12:$E$112</c:f>
              <c:numCache>
                <c:formatCode>0.000_ </c:formatCode>
                <c:ptCount val="101"/>
                <c:pt idx="0">
                  <c:v>0.15052985096168214</c:v>
                </c:pt>
                <c:pt idx="1">
                  <c:v>0.10955534069093353</c:v>
                </c:pt>
                <c:pt idx="2">
                  <c:v>0.29007380952970385</c:v>
                </c:pt>
                <c:pt idx="3">
                  <c:v>0.27480765244592464</c:v>
                </c:pt>
                <c:pt idx="4">
                  <c:v>0.43474650736707871</c:v>
                </c:pt>
                <c:pt idx="5">
                  <c:v>0.676678161840786</c:v>
                </c:pt>
                <c:pt idx="6">
                  <c:v>0.58836781698216811</c:v>
                </c:pt>
                <c:pt idx="7">
                  <c:v>0.4913829204986131</c:v>
                </c:pt>
                <c:pt idx="8">
                  <c:v>0.76326269043073802</c:v>
                </c:pt>
                <c:pt idx="9">
                  <c:v>0.84962824581446184</c:v>
                </c:pt>
                <c:pt idx="10">
                  <c:v>0.73675136884844339</c:v>
                </c:pt>
                <c:pt idx="11">
                  <c:v>0.6091858421735703</c:v>
                </c:pt>
                <c:pt idx="12">
                  <c:v>0.84030618914408828</c:v>
                </c:pt>
                <c:pt idx="13">
                  <c:v>0.7219230710851563</c:v>
                </c:pt>
                <c:pt idx="14">
                  <c:v>0.9086527226147153</c:v>
                </c:pt>
                <c:pt idx="15">
                  <c:v>0.75553029722404308</c:v>
                </c:pt>
                <c:pt idx="16">
                  <c:v>0.79598003733642131</c:v>
                </c:pt>
                <c:pt idx="17">
                  <c:v>0.74617205517066465</c:v>
                </c:pt>
                <c:pt idx="18">
                  <c:v>0.87702137240527422</c:v>
                </c:pt>
                <c:pt idx="19">
                  <c:v>0.7101481174605444</c:v>
                </c:pt>
                <c:pt idx="20">
                  <c:v>0.95869995801980723</c:v>
                </c:pt>
                <c:pt idx="21">
                  <c:v>0.68506696008987844</c:v>
                </c:pt>
                <c:pt idx="22">
                  <c:v>0.55789320839442214</c:v>
                </c:pt>
                <c:pt idx="23">
                  <c:v>0.54485019024993986</c:v>
                </c:pt>
                <c:pt idx="24">
                  <c:v>0.46753473483986241</c:v>
                </c:pt>
                <c:pt idx="25">
                  <c:v>0.54581815000739264</c:v>
                </c:pt>
                <c:pt idx="26">
                  <c:v>0.41112094003588151</c:v>
                </c:pt>
                <c:pt idx="27">
                  <c:v>0.30495689461558406</c:v>
                </c:pt>
                <c:pt idx="28">
                  <c:v>0.26826242620381158</c:v>
                </c:pt>
                <c:pt idx="29">
                  <c:v>0.32750869634167667</c:v>
                </c:pt>
                <c:pt idx="30">
                  <c:v>0.13045415568461993</c:v>
                </c:pt>
                <c:pt idx="31">
                  <c:v>6.0968239904800825E-2</c:v>
                </c:pt>
                <c:pt idx="32">
                  <c:v>4.6897468904390838E-2</c:v>
                </c:pt>
                <c:pt idx="33">
                  <c:v>-8.2299537726385319E-2</c:v>
                </c:pt>
                <c:pt idx="34">
                  <c:v>-8.7350706175955306E-2</c:v>
                </c:pt>
                <c:pt idx="35">
                  <c:v>-0.11420308603285978</c:v>
                </c:pt>
                <c:pt idx="36">
                  <c:v>-0.19772123060085467</c:v>
                </c:pt>
                <c:pt idx="37">
                  <c:v>-0.21007565437594167</c:v>
                </c:pt>
                <c:pt idx="38">
                  <c:v>-0.25703117393745289</c:v>
                </c:pt>
                <c:pt idx="39">
                  <c:v>-0.51866068500592255</c:v>
                </c:pt>
                <c:pt idx="40">
                  <c:v>-0.44178765633077943</c:v>
                </c:pt>
                <c:pt idx="41">
                  <c:v>-0.47974629704496796</c:v>
                </c:pt>
                <c:pt idx="42">
                  <c:v>-0.76329199908196177</c:v>
                </c:pt>
                <c:pt idx="43">
                  <c:v>-0.60153681990973329</c:v>
                </c:pt>
                <c:pt idx="44">
                  <c:v>-0.65766204146604257</c:v>
                </c:pt>
                <c:pt idx="45">
                  <c:v>-0.67033446660053864</c:v>
                </c:pt>
                <c:pt idx="46">
                  <c:v>-0.75434519778878495</c:v>
                </c:pt>
                <c:pt idx="47">
                  <c:v>-0.79403649640988094</c:v>
                </c:pt>
                <c:pt idx="48">
                  <c:v>-0.83613134848270554</c:v>
                </c:pt>
                <c:pt idx="49">
                  <c:v>-0.86857370295575032</c:v>
                </c:pt>
                <c:pt idx="50">
                  <c:v>-0.92791837887160522</c:v>
                </c:pt>
                <c:pt idx="51">
                  <c:v>-0.95556788371421242</c:v>
                </c:pt>
                <c:pt idx="52">
                  <c:v>-0.79769014622273249</c:v>
                </c:pt>
                <c:pt idx="53">
                  <c:v>-0.96132899271978922</c:v>
                </c:pt>
                <c:pt idx="54">
                  <c:v>-1.0736485061459182</c:v>
                </c:pt>
                <c:pt idx="55">
                  <c:v>-1.1723918005777816</c:v>
                </c:pt>
                <c:pt idx="56">
                  <c:v>-1.0346484838596717</c:v>
                </c:pt>
                <c:pt idx="57">
                  <c:v>-1.0290951490973972</c:v>
                </c:pt>
                <c:pt idx="58">
                  <c:v>-1.2260953535235848</c:v>
                </c:pt>
                <c:pt idx="59">
                  <c:v>-1.0784863000814178</c:v>
                </c:pt>
                <c:pt idx="60">
                  <c:v>-0.93408365426753992</c:v>
                </c:pt>
                <c:pt idx="61">
                  <c:v>-1.1682976293076601</c:v>
                </c:pt>
                <c:pt idx="62">
                  <c:v>-0.96068136891764366</c:v>
                </c:pt>
                <c:pt idx="63">
                  <c:v>-0.9133346512971926</c:v>
                </c:pt>
                <c:pt idx="64">
                  <c:v>-1.0869461845175157</c:v>
                </c:pt>
                <c:pt idx="65">
                  <c:v>-1.156571348071977</c:v>
                </c:pt>
                <c:pt idx="66">
                  <c:v>-0.97448861575414569</c:v>
                </c:pt>
                <c:pt idx="67">
                  <c:v>-0.89308036577749417</c:v>
                </c:pt>
                <c:pt idx="68">
                  <c:v>-0.91534619287162</c:v>
                </c:pt>
                <c:pt idx="69">
                  <c:v>-0.77580074448827641</c:v>
                </c:pt>
                <c:pt idx="70">
                  <c:v>-0.80973807886170412</c:v>
                </c:pt>
                <c:pt idx="71">
                  <c:v>-0.80540343967674866</c:v>
                </c:pt>
                <c:pt idx="72">
                  <c:v>-0.5577428836673326</c:v>
                </c:pt>
                <c:pt idx="73">
                  <c:v>-0.79993126571999484</c:v>
                </c:pt>
                <c:pt idx="74">
                  <c:v>-0.61455569789682496</c:v>
                </c:pt>
                <c:pt idx="75">
                  <c:v>-0.44982647307532719</c:v>
                </c:pt>
                <c:pt idx="76">
                  <c:v>-0.44870048910347582</c:v>
                </c:pt>
                <c:pt idx="77">
                  <c:v>-0.49586927075576614</c:v>
                </c:pt>
                <c:pt idx="78">
                  <c:v>-0.40469877743041249</c:v>
                </c:pt>
                <c:pt idx="79">
                  <c:v>-0.35735113050932443</c:v>
                </c:pt>
                <c:pt idx="80">
                  <c:v>-0.16003151045571262</c:v>
                </c:pt>
                <c:pt idx="81">
                  <c:v>-0.29478364721467898</c:v>
                </c:pt>
                <c:pt idx="82">
                  <c:v>-0.22453410828183928</c:v>
                </c:pt>
                <c:pt idx="83">
                  <c:v>0.11814038567183527</c:v>
                </c:pt>
                <c:pt idx="84">
                  <c:v>0.22448654499744869</c:v>
                </c:pt>
                <c:pt idx="85">
                  <c:v>7.3197176010356024E-2</c:v>
                </c:pt>
                <c:pt idx="86">
                  <c:v>6.8220156583886915E-3</c:v>
                </c:pt>
                <c:pt idx="87">
                  <c:v>8.7856383018173112E-2</c:v>
                </c:pt>
                <c:pt idx="88">
                  <c:v>0.38096609343517152</c:v>
                </c:pt>
                <c:pt idx="89">
                  <c:v>0.29853620522893487</c:v>
                </c:pt>
                <c:pt idx="90">
                  <c:v>0.5054222087146143</c:v>
                </c:pt>
                <c:pt idx="91">
                  <c:v>0.52245231980889151</c:v>
                </c:pt>
                <c:pt idx="92">
                  <c:v>0.59545039266595401</c:v>
                </c:pt>
                <c:pt idx="93">
                  <c:v>0.76470902263423324</c:v>
                </c:pt>
                <c:pt idx="94">
                  <c:v>0.49660486233087964</c:v>
                </c:pt>
                <c:pt idx="95">
                  <c:v>0.64352723724681682</c:v>
                </c:pt>
                <c:pt idx="96">
                  <c:v>0.5982073202718734</c:v>
                </c:pt>
                <c:pt idx="97">
                  <c:v>1.115327769753103</c:v>
                </c:pt>
                <c:pt idx="98">
                  <c:v>0.67588902091859215</c:v>
                </c:pt>
                <c:pt idx="99">
                  <c:v>1.0105265023674546</c:v>
                </c:pt>
                <c:pt idx="100">
                  <c:v>0.94453935988936322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67-4418-9197-0DD01F24D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13792"/>
        <c:axId val="455519552"/>
      </c:lineChart>
      <c:catAx>
        <c:axId val="4555137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19552"/>
        <c:crosses val="autoZero"/>
        <c:auto val="1"/>
        <c:lblAlgn val="ctr"/>
        <c:lblOffset val="100"/>
        <c:noMultiLvlLbl val="0"/>
      </c:catAx>
      <c:valAx>
        <c:axId val="45551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1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正弦力!$F$12:$F$112</c:f>
              <c:numCache>
                <c:formatCode>0.000_ </c:formatCode>
                <c:ptCount val="101"/>
                <c:pt idx="0">
                  <c:v>0</c:v>
                </c:pt>
                <c:pt idx="1">
                  <c:v>1.0955534069093354E-2</c:v>
                </c:pt>
                <c:pt idx="2">
                  <c:v>3.9962915022063741E-2</c:v>
                </c:pt>
                <c:pt idx="3">
                  <c:v>6.7443680266656203E-2</c:v>
                </c:pt>
                <c:pt idx="4">
                  <c:v>0.11091833100336407</c:v>
                </c:pt>
                <c:pt idx="5">
                  <c:v>0.17858614718744267</c:v>
                </c:pt>
                <c:pt idx="6">
                  <c:v>0.2374229288856595</c:v>
                </c:pt>
                <c:pt idx="7">
                  <c:v>0.28656122093552083</c:v>
                </c:pt>
                <c:pt idx="8">
                  <c:v>0.36288748997859466</c:v>
                </c:pt>
                <c:pt idx="9">
                  <c:v>0.44785031456004087</c:v>
                </c:pt>
                <c:pt idx="10">
                  <c:v>0.52152545144488527</c:v>
                </c:pt>
                <c:pt idx="11">
                  <c:v>0.58244403566224234</c:v>
                </c:pt>
                <c:pt idx="12">
                  <c:v>0.66647465457665112</c:v>
                </c:pt>
                <c:pt idx="13">
                  <c:v>0.73866696168516677</c:v>
                </c:pt>
                <c:pt idx="14">
                  <c:v>0.82953223394663833</c:v>
                </c:pt>
                <c:pt idx="15">
                  <c:v>0.90508526366904263</c:v>
                </c:pt>
                <c:pt idx="16">
                  <c:v>0.98468326740268475</c:v>
                </c:pt>
                <c:pt idx="17">
                  <c:v>1.0593004729197513</c:v>
                </c:pt>
                <c:pt idx="18">
                  <c:v>1.1470026101602786</c:v>
                </c:pt>
                <c:pt idx="19">
                  <c:v>1.2180174219063331</c:v>
                </c:pt>
                <c:pt idx="20">
                  <c:v>1.3138874177083137</c:v>
                </c:pt>
                <c:pt idx="21">
                  <c:v>1.3823941137173015</c:v>
                </c:pt>
                <c:pt idx="22">
                  <c:v>1.4381834345567437</c:v>
                </c:pt>
                <c:pt idx="23">
                  <c:v>1.4926684535817376</c:v>
                </c:pt>
                <c:pt idx="24">
                  <c:v>1.5394219270657239</c:v>
                </c:pt>
                <c:pt idx="25">
                  <c:v>1.5940037420664632</c:v>
                </c:pt>
                <c:pt idx="26">
                  <c:v>1.6351158360700513</c:v>
                </c:pt>
                <c:pt idx="27">
                  <c:v>1.6656115255316097</c:v>
                </c:pt>
                <c:pt idx="28">
                  <c:v>1.6924377681519909</c:v>
                </c:pt>
                <c:pt idx="29">
                  <c:v>1.7251886377861585</c:v>
                </c:pt>
                <c:pt idx="30">
                  <c:v>1.7382340533546206</c:v>
                </c:pt>
                <c:pt idx="31">
                  <c:v>1.7443308773451007</c:v>
                </c:pt>
                <c:pt idx="32">
                  <c:v>1.7490206242355397</c:v>
                </c:pt>
                <c:pt idx="33">
                  <c:v>1.7407906704629013</c:v>
                </c:pt>
                <c:pt idx="34">
                  <c:v>1.7320555998453058</c:v>
                </c:pt>
                <c:pt idx="35">
                  <c:v>1.7206352912420197</c:v>
                </c:pt>
                <c:pt idx="36">
                  <c:v>1.7008631681819342</c:v>
                </c:pt>
                <c:pt idx="37">
                  <c:v>1.6798556027443401</c:v>
                </c:pt>
                <c:pt idx="38">
                  <c:v>1.6541524853505949</c:v>
                </c:pt>
                <c:pt idx="39">
                  <c:v>1.6022864168500026</c:v>
                </c:pt>
                <c:pt idx="40">
                  <c:v>1.5581076512169247</c:v>
                </c:pt>
                <c:pt idx="41">
                  <c:v>1.510133021512428</c:v>
                </c:pt>
                <c:pt idx="42">
                  <c:v>1.4338038216042319</c:v>
                </c:pt>
                <c:pt idx="43">
                  <c:v>1.3736501396132585</c:v>
                </c:pt>
                <c:pt idx="44">
                  <c:v>1.3078839354666543</c:v>
                </c:pt>
                <c:pt idx="45">
                  <c:v>1.2408504888066003</c:v>
                </c:pt>
                <c:pt idx="46">
                  <c:v>1.1654159690277219</c:v>
                </c:pt>
                <c:pt idx="47">
                  <c:v>1.0860123193867339</c:v>
                </c:pt>
                <c:pt idx="48">
                  <c:v>1.0023991845384634</c:v>
                </c:pt>
                <c:pt idx="49">
                  <c:v>0.91554181424288839</c:v>
                </c:pt>
                <c:pt idx="50">
                  <c:v>0.82274997635572789</c:v>
                </c:pt>
                <c:pt idx="51">
                  <c:v>0.72719318798430665</c:v>
                </c:pt>
                <c:pt idx="52">
                  <c:v>0.64742417336203339</c:v>
                </c:pt>
                <c:pt idx="53">
                  <c:v>0.55129127409005441</c:v>
                </c:pt>
                <c:pt idx="54">
                  <c:v>0.44392642347546257</c:v>
                </c:pt>
                <c:pt idx="55">
                  <c:v>0.3266872434176844</c:v>
                </c:pt>
                <c:pt idx="56">
                  <c:v>0.22322239503171723</c:v>
                </c:pt>
                <c:pt idx="57">
                  <c:v>0.12031288012197751</c:v>
                </c:pt>
                <c:pt idx="58">
                  <c:v>-2.2966552303809729E-3</c:v>
                </c:pt>
                <c:pt idx="59">
                  <c:v>-0.11014528523852275</c:v>
                </c:pt>
                <c:pt idx="60">
                  <c:v>-0.20355365066527675</c:v>
                </c:pt>
                <c:pt idx="61">
                  <c:v>-0.32038341359604278</c:v>
                </c:pt>
                <c:pt idx="62">
                  <c:v>-0.41645155048780713</c:v>
                </c:pt>
                <c:pt idx="63">
                  <c:v>-0.50778501561752643</c:v>
                </c:pt>
                <c:pt idx="64">
                  <c:v>-0.61647963406927797</c:v>
                </c:pt>
                <c:pt idx="65">
                  <c:v>-0.73213676887647572</c:v>
                </c:pt>
                <c:pt idx="66">
                  <c:v>-0.82958563045189027</c:v>
                </c:pt>
                <c:pt idx="67">
                  <c:v>-0.9188936670296397</c:v>
                </c:pt>
                <c:pt idx="68">
                  <c:v>-1.0104282863168017</c:v>
                </c:pt>
                <c:pt idx="69">
                  <c:v>-1.0880083607656292</c:v>
                </c:pt>
                <c:pt idx="70">
                  <c:v>-1.1689821686517996</c:v>
                </c:pt>
                <c:pt idx="71">
                  <c:v>-1.2495225126194744</c:v>
                </c:pt>
                <c:pt idx="72">
                  <c:v>-1.3052968009862078</c:v>
                </c:pt>
                <c:pt idx="73">
                  <c:v>-1.3852899275582073</c:v>
                </c:pt>
                <c:pt idx="74">
                  <c:v>-1.4467454973478899</c:v>
                </c:pt>
                <c:pt idx="75">
                  <c:v>-1.4917281446554227</c:v>
                </c:pt>
                <c:pt idx="76">
                  <c:v>-1.5365981935657702</c:v>
                </c:pt>
                <c:pt idx="77">
                  <c:v>-1.5861851206413469</c:v>
                </c:pt>
                <c:pt idx="78">
                  <c:v>-1.6266549983843881</c:v>
                </c:pt>
                <c:pt idx="79">
                  <c:v>-1.6623901114353206</c:v>
                </c:pt>
                <c:pt idx="80">
                  <c:v>-1.6783932624808919</c:v>
                </c:pt>
                <c:pt idx="81">
                  <c:v>-1.7078716272023597</c:v>
                </c:pt>
                <c:pt idx="82">
                  <c:v>-1.7303250380305437</c:v>
                </c:pt>
                <c:pt idx="83">
                  <c:v>-1.7185109994633603</c:v>
                </c:pt>
                <c:pt idx="84">
                  <c:v>-1.6960623449636154</c:v>
                </c:pt>
                <c:pt idx="85">
                  <c:v>-1.6887426273625799</c:v>
                </c:pt>
                <c:pt idx="86">
                  <c:v>-1.6880604257967411</c:v>
                </c:pt>
                <c:pt idx="87">
                  <c:v>-1.6792747874949239</c:v>
                </c:pt>
                <c:pt idx="88">
                  <c:v>-1.6411781781514068</c:v>
                </c:pt>
                <c:pt idx="89">
                  <c:v>-1.6113245576285133</c:v>
                </c:pt>
                <c:pt idx="90">
                  <c:v>-1.5607823367570519</c:v>
                </c:pt>
                <c:pt idx="91">
                  <c:v>-1.5085371047761629</c:v>
                </c:pt>
                <c:pt idx="92">
                  <c:v>-1.4489920655095674</c:v>
                </c:pt>
                <c:pt idx="93">
                  <c:v>-1.372521163246144</c:v>
                </c:pt>
                <c:pt idx="94">
                  <c:v>-1.322860677013056</c:v>
                </c:pt>
                <c:pt idx="95">
                  <c:v>-1.2585079532883743</c:v>
                </c:pt>
                <c:pt idx="96">
                  <c:v>-1.198687221261187</c:v>
                </c:pt>
                <c:pt idx="97">
                  <c:v>-1.0871544442858767</c:v>
                </c:pt>
                <c:pt idx="98">
                  <c:v>-1.0195655421940175</c:v>
                </c:pt>
                <c:pt idx="99">
                  <c:v>-0.91851289195727204</c:v>
                </c:pt>
                <c:pt idx="100">
                  <c:v>-0.82405895596833567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90-49AA-8F26-45F040342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正弦力!$G$12:$G$112</c:f>
              <c:numCache>
                <c:formatCode>0.000_ </c:formatCode>
                <c:ptCount val="101"/>
                <c:pt idx="0">
                  <c:v>0</c:v>
                </c:pt>
                <c:pt idx="1">
                  <c:v>1.0955534069093354E-3</c:v>
                </c:pt>
                <c:pt idx="2">
                  <c:v>5.0918449091157097E-3</c:v>
                </c:pt>
                <c:pt idx="3">
                  <c:v>1.183621293578133E-2</c:v>
                </c:pt>
                <c:pt idx="4">
                  <c:v>2.2928046036117738E-2</c:v>
                </c:pt>
                <c:pt idx="5">
                  <c:v>4.0786660754862009E-2</c:v>
                </c:pt>
                <c:pt idx="6">
                  <c:v>6.4528953643427964E-2</c:v>
                </c:pt>
                <c:pt idx="7">
                  <c:v>9.3185075736980053E-2</c:v>
                </c:pt>
                <c:pt idx="8">
                  <c:v>0.12947382473483951</c:v>
                </c:pt>
                <c:pt idx="9">
                  <c:v>0.17425885619084361</c:v>
                </c:pt>
                <c:pt idx="10">
                  <c:v>0.22641140133533214</c:v>
                </c:pt>
                <c:pt idx="11">
                  <c:v>0.2846558049015564</c:v>
                </c:pt>
                <c:pt idx="12">
                  <c:v>0.35130327035922149</c:v>
                </c:pt>
                <c:pt idx="13">
                  <c:v>0.4251699665277382</c:v>
                </c:pt>
                <c:pt idx="14">
                  <c:v>0.50812318992240202</c:v>
                </c:pt>
                <c:pt idx="15">
                  <c:v>0.59863171628930623</c:v>
                </c:pt>
                <c:pt idx="16">
                  <c:v>0.69710004302957473</c:v>
                </c:pt>
                <c:pt idx="17">
                  <c:v>0.80303009032154993</c:v>
                </c:pt>
                <c:pt idx="18">
                  <c:v>0.91773035133757785</c:v>
                </c:pt>
                <c:pt idx="19">
                  <c:v>1.0395320935282111</c:v>
                </c:pt>
                <c:pt idx="20">
                  <c:v>1.1709208352990426</c:v>
                </c:pt>
                <c:pt idx="21">
                  <c:v>1.3091602466707728</c:v>
                </c:pt>
                <c:pt idx="22">
                  <c:v>1.4529785901264471</c:v>
                </c:pt>
                <c:pt idx="23">
                  <c:v>1.602245435484621</c:v>
                </c:pt>
                <c:pt idx="24">
                  <c:v>1.7561876281911935</c:v>
                </c:pt>
                <c:pt idx="25">
                  <c:v>1.9155880023978398</c:v>
                </c:pt>
                <c:pt idx="26">
                  <c:v>2.0790995860048449</c:v>
                </c:pt>
                <c:pt idx="27">
                  <c:v>2.2456607385580059</c:v>
                </c:pt>
                <c:pt idx="28">
                  <c:v>2.4149045153732049</c:v>
                </c:pt>
                <c:pt idx="29">
                  <c:v>2.5874233791518209</c:v>
                </c:pt>
                <c:pt idx="30">
                  <c:v>2.761246784487283</c:v>
                </c:pt>
                <c:pt idx="31">
                  <c:v>2.9356798722217929</c:v>
                </c:pt>
                <c:pt idx="32">
                  <c:v>3.1105819346453467</c:v>
                </c:pt>
                <c:pt idx="33">
                  <c:v>3.2846610016916369</c:v>
                </c:pt>
                <c:pt idx="34">
                  <c:v>3.4578665616761675</c:v>
                </c:pt>
                <c:pt idx="35">
                  <c:v>3.6299300908003693</c:v>
                </c:pt>
                <c:pt idx="36">
                  <c:v>3.8000164076185627</c:v>
                </c:pt>
                <c:pt idx="37">
                  <c:v>3.968001967892997</c:v>
                </c:pt>
                <c:pt idx="38">
                  <c:v>4.1334172164280565</c:v>
                </c:pt>
                <c:pt idx="39">
                  <c:v>4.2936458581130568</c:v>
                </c:pt>
                <c:pt idx="40">
                  <c:v>4.4494566232347497</c:v>
                </c:pt>
                <c:pt idx="41">
                  <c:v>4.6004699253859922</c:v>
                </c:pt>
                <c:pt idx="42">
                  <c:v>4.7438503075464151</c:v>
                </c:pt>
                <c:pt idx="43">
                  <c:v>4.8812153215077414</c:v>
                </c:pt>
                <c:pt idx="44">
                  <c:v>5.0120037150544068</c:v>
                </c:pt>
                <c:pt idx="45">
                  <c:v>5.1360887639350672</c:v>
                </c:pt>
                <c:pt idx="46">
                  <c:v>5.2526303608378395</c:v>
                </c:pt>
                <c:pt idx="47">
                  <c:v>5.3612315927765133</c:v>
                </c:pt>
                <c:pt idx="48">
                  <c:v>5.4614715112303598</c:v>
                </c:pt>
                <c:pt idx="49">
                  <c:v>5.5530256926546482</c:v>
                </c:pt>
                <c:pt idx="50">
                  <c:v>5.6353006902902214</c:v>
                </c:pt>
                <c:pt idx="51">
                  <c:v>5.7080200090886519</c:v>
                </c:pt>
                <c:pt idx="52">
                  <c:v>5.7727624264248556</c:v>
                </c:pt>
                <c:pt idx="53">
                  <c:v>5.8278915538338607</c:v>
                </c:pt>
                <c:pt idx="54">
                  <c:v>5.8722841961814067</c:v>
                </c:pt>
                <c:pt idx="55">
                  <c:v>5.9049529205231748</c:v>
                </c:pt>
                <c:pt idx="56">
                  <c:v>5.9272751600263467</c:v>
                </c:pt>
                <c:pt idx="57">
                  <c:v>5.9393064480385442</c:v>
                </c:pt>
                <c:pt idx="58">
                  <c:v>5.9390767825155057</c:v>
                </c:pt>
                <c:pt idx="59">
                  <c:v>5.9280622539916532</c:v>
                </c:pt>
                <c:pt idx="60">
                  <c:v>5.9077068889251256</c:v>
                </c:pt>
                <c:pt idx="61">
                  <c:v>5.875668547565521</c:v>
                </c:pt>
                <c:pt idx="62">
                  <c:v>5.8340233925167402</c:v>
                </c:pt>
                <c:pt idx="63">
                  <c:v>5.7832448909549878</c:v>
                </c:pt>
                <c:pt idx="64">
                  <c:v>5.7215969275480596</c:v>
                </c:pt>
                <c:pt idx="65">
                  <c:v>5.6483832506604124</c:v>
                </c:pt>
                <c:pt idx="66">
                  <c:v>5.5654246876152236</c:v>
                </c:pt>
                <c:pt idx="67">
                  <c:v>5.4735353209122595</c:v>
                </c:pt>
                <c:pt idx="68">
                  <c:v>5.3724924922805792</c:v>
                </c:pt>
                <c:pt idx="69">
                  <c:v>5.2636916562040161</c:v>
                </c:pt>
                <c:pt idx="70">
                  <c:v>5.1467934393388362</c:v>
                </c:pt>
                <c:pt idx="71">
                  <c:v>5.0218411880768885</c:v>
                </c:pt>
                <c:pt idx="72">
                  <c:v>4.8913115079782674</c:v>
                </c:pt>
                <c:pt idx="73">
                  <c:v>4.7527825152224468</c:v>
                </c:pt>
                <c:pt idx="74">
                  <c:v>4.6081079654876582</c:v>
                </c:pt>
                <c:pt idx="75">
                  <c:v>4.458935151022116</c:v>
                </c:pt>
                <c:pt idx="76">
                  <c:v>4.3052753316655394</c:v>
                </c:pt>
                <c:pt idx="77">
                  <c:v>4.1466568196014046</c:v>
                </c:pt>
                <c:pt idx="78">
                  <c:v>3.9839913197629659</c:v>
                </c:pt>
                <c:pt idx="79">
                  <c:v>3.817752308619434</c:v>
                </c:pt>
                <c:pt idx="80">
                  <c:v>3.6499129823713448</c:v>
                </c:pt>
                <c:pt idx="81">
                  <c:v>3.4791258196511086</c:v>
                </c:pt>
                <c:pt idx="82">
                  <c:v>3.3060933158480541</c:v>
                </c:pt>
                <c:pt idx="83">
                  <c:v>3.1342422159017183</c:v>
                </c:pt>
                <c:pt idx="84">
                  <c:v>2.9646359814053569</c:v>
                </c:pt>
                <c:pt idx="85">
                  <c:v>2.7957617186690991</c:v>
                </c:pt>
                <c:pt idx="86">
                  <c:v>2.626955676089425</c:v>
                </c:pt>
                <c:pt idx="87">
                  <c:v>2.4590281973399328</c:v>
                </c:pt>
                <c:pt idx="88">
                  <c:v>2.2949103795247923</c:v>
                </c:pt>
                <c:pt idx="89">
                  <c:v>2.133777923761941</c:v>
                </c:pt>
                <c:pt idx="90">
                  <c:v>1.9776996900862358</c:v>
                </c:pt>
                <c:pt idx="91">
                  <c:v>1.8268459796086196</c:v>
                </c:pt>
                <c:pt idx="92">
                  <c:v>1.6819467730576629</c:v>
                </c:pt>
                <c:pt idx="93">
                  <c:v>1.5446946567330486</c:v>
                </c:pt>
                <c:pt idx="94">
                  <c:v>1.412408589031743</c:v>
                </c:pt>
                <c:pt idx="95">
                  <c:v>1.2865577937029056</c:v>
                </c:pt>
                <c:pt idx="96">
                  <c:v>1.1666890715767868</c:v>
                </c:pt>
                <c:pt idx="97">
                  <c:v>1.0579736271481992</c:v>
                </c:pt>
                <c:pt idx="98">
                  <c:v>0.95601707292879745</c:v>
                </c:pt>
                <c:pt idx="99">
                  <c:v>0.86416578373307029</c:v>
                </c:pt>
                <c:pt idx="100">
                  <c:v>0.78175988813623676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1E-4839-8F28-3FAF92590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x'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正弦力!$H$12:$H$112</c:f>
              <c:numCache>
                <c:formatCode>0.000_ </c:formatCode>
                <c:ptCount val="101"/>
                <c:pt idx="0">
                  <c:v>5.9288257678273941E-3</c:v>
                </c:pt>
                <c:pt idx="1">
                  <c:v>2.5286860717951983E-3</c:v>
                </c:pt>
                <c:pt idx="2">
                  <c:v>4.4403741598756123E-3</c:v>
                </c:pt>
                <c:pt idx="3">
                  <c:v>1.2456202996769956E-2</c:v>
                </c:pt>
                <c:pt idx="4">
                  <c:v>-8.1585728816247378E-3</c:v>
                </c:pt>
                <c:pt idx="5">
                  <c:v>3.364734976935109E-2</c:v>
                </c:pt>
                <c:pt idx="6">
                  <c:v>7.0714912614520523E-2</c:v>
                </c:pt>
                <c:pt idx="7">
                  <c:v>9.2581463050407695E-2</c:v>
                </c:pt>
                <c:pt idx="8">
                  <c:v>0.1310467843715363</c:v>
                </c:pt>
                <c:pt idx="9">
                  <c:v>0.17286466052100288</c:v>
                </c:pt>
                <c:pt idx="10">
                  <c:v>0.23441183888571374</c:v>
                </c:pt>
                <c:pt idx="11">
                  <c:v>0.26904420337278612</c:v>
                </c:pt>
                <c:pt idx="12">
                  <c:v>0.36414848936294469</c:v>
                </c:pt>
                <c:pt idx="13">
                  <c:v>0.42440224252605385</c:v>
                </c:pt>
                <c:pt idx="14">
                  <c:v>0.4940522385806918</c:v>
                </c:pt>
                <c:pt idx="15">
                  <c:v>0.59521418653138458</c:v>
                </c:pt>
                <c:pt idx="16">
                  <c:v>0.70646166059456894</c:v>
                </c:pt>
                <c:pt idx="17">
                  <c:v>0.81419907243784384</c:v>
                </c:pt>
                <c:pt idx="18">
                  <c:v>0.91647507982626597</c:v>
                </c:pt>
                <c:pt idx="19">
                  <c:v>1.0481248834864856</c:v>
                </c:pt>
                <c:pt idx="20">
                  <c:v>1.1789426811765353</c:v>
                </c:pt>
                <c:pt idx="21">
                  <c:v>1.3254870732048749</c:v>
                </c:pt>
                <c:pt idx="22">
                  <c:v>1.4491307400543711</c:v>
                </c:pt>
                <c:pt idx="23">
                  <c:v>1.6009404781852492</c:v>
                </c:pt>
                <c:pt idx="24">
                  <c:v>1.7637751884177673</c:v>
                </c:pt>
                <c:pt idx="25">
                  <c:v>1.9250806415261428</c:v>
                </c:pt>
                <c:pt idx="26">
                  <c:v>2.0977553390272559</c:v>
                </c:pt>
                <c:pt idx="27">
                  <c:v>2.2581216080688624</c:v>
                </c:pt>
                <c:pt idx="28">
                  <c:v>2.4050919641514601</c:v>
                </c:pt>
                <c:pt idx="29">
                  <c:v>2.5712111134328239</c:v>
                </c:pt>
                <c:pt idx="30">
                  <c:v>2.7612936329859177</c:v>
                </c:pt>
                <c:pt idx="31">
                  <c:v>2.9244788817584895</c:v>
                </c:pt>
                <c:pt idx="32">
                  <c:v>3.1011505971426656</c:v>
                </c:pt>
                <c:pt idx="33">
                  <c:v>3.2816643927118685</c:v>
                </c:pt>
                <c:pt idx="34">
                  <c:v>3.4447464267747763</c:v>
                </c:pt>
                <c:pt idx="35">
                  <c:v>3.6321433043388538</c:v>
                </c:pt>
                <c:pt idx="36">
                  <c:v>3.80849178449323</c:v>
                </c:pt>
                <c:pt idx="37">
                  <c:v>3.9628419782918374</c:v>
                </c:pt>
                <c:pt idx="38">
                  <c:v>4.13681380369498</c:v>
                </c:pt>
                <c:pt idx="39">
                  <c:v>4.2742933264068661</c:v>
                </c:pt>
                <c:pt idx="40">
                  <c:v>4.4472752103003153</c:v>
                </c:pt>
                <c:pt idx="41">
                  <c:v>4.6105884586162782</c:v>
                </c:pt>
                <c:pt idx="42">
                  <c:v>4.7612174446496356</c:v>
                </c:pt>
                <c:pt idx="43">
                  <c:v>4.8835813370820871</c:v>
                </c:pt>
                <c:pt idx="44">
                  <c:v>5.0076030306732235</c:v>
                </c:pt>
                <c:pt idx="45">
                  <c:v>5.1283677819185893</c:v>
                </c:pt>
                <c:pt idx="46">
                  <c:v>5.2403084221123777</c:v>
                </c:pt>
                <c:pt idx="47">
                  <c:v>5.3635467808650841</c:v>
                </c:pt>
                <c:pt idx="48">
                  <c:v>5.4783027485885487</c:v>
                </c:pt>
                <c:pt idx="49">
                  <c:v>5.5624479185448621</c:v>
                </c:pt>
                <c:pt idx="50">
                  <c:v>5.626283049816208</c:v>
                </c:pt>
                <c:pt idx="51">
                  <c:v>5.7059430343583699</c:v>
                </c:pt>
                <c:pt idx="52">
                  <c:v>5.7791880335190715</c:v>
                </c:pt>
                <c:pt idx="53">
                  <c:v>5.8272492108405007</c:v>
                </c:pt>
                <c:pt idx="54">
                  <c:v>5.8719808976580987</c:v>
                </c:pt>
                <c:pt idx="55">
                  <c:v>5.9090976007272742</c:v>
                </c:pt>
                <c:pt idx="56">
                  <c:v>5.9326234347109663</c:v>
                </c:pt>
                <c:pt idx="57">
                  <c:v>5.9463369499056213</c:v>
                </c:pt>
                <c:pt idx="58">
                  <c:v>5.9568604725837266</c:v>
                </c:pt>
                <c:pt idx="59">
                  <c:v>5.938531399158216</c:v>
                </c:pt>
                <c:pt idx="60">
                  <c:v>5.897498335010896</c:v>
                </c:pt>
                <c:pt idx="61">
                  <c:v>5.8850013017851106</c:v>
                </c:pt>
                <c:pt idx="62">
                  <c:v>5.8502072978873949</c:v>
                </c:pt>
                <c:pt idx="63">
                  <c:v>5.7816231151526312</c:v>
                </c:pt>
                <c:pt idx="64">
                  <c:v>5.7258702233733478</c:v>
                </c:pt>
                <c:pt idx="65">
                  <c:v>5.6434355588167113</c:v>
                </c:pt>
                <c:pt idx="66">
                  <c:v>5.5989981363085102</c:v>
                </c:pt>
                <c:pt idx="67">
                  <c:v>5.4693673952684918</c:v>
                </c:pt>
                <c:pt idx="68">
                  <c:v>5.3709197363327785</c:v>
                </c:pt>
                <c:pt idx="69">
                  <c:v>5.2580926110812873</c:v>
                </c:pt>
                <c:pt idx="70">
                  <c:v>5.1287435134782653</c:v>
                </c:pt>
                <c:pt idx="71">
                  <c:v>5.0377084740669362</c:v>
                </c:pt>
                <c:pt idx="72">
                  <c:v>4.8953960407580688</c:v>
                </c:pt>
                <c:pt idx="73">
                  <c:v>4.7550321578308887</c:v>
                </c:pt>
                <c:pt idx="74">
                  <c:v>4.5962398769916479</c:v>
                </c:pt>
                <c:pt idx="75">
                  <c:v>4.4595819870641611</c:v>
                </c:pt>
                <c:pt idx="76">
                  <c:v>4.3151214953549069</c:v>
                </c:pt>
                <c:pt idx="77">
                  <c:v>4.1464496309373944</c:v>
                </c:pt>
                <c:pt idx="78">
                  <c:v>4.0127433523318699</c:v>
                </c:pt>
                <c:pt idx="79">
                  <c:v>3.8189203766213558</c:v>
                </c:pt>
                <c:pt idx="80">
                  <c:v>3.6547881251889915</c:v>
                </c:pt>
                <c:pt idx="81">
                  <c:v>3.4740401778850072</c:v>
                </c:pt>
                <c:pt idx="82">
                  <c:v>3.3024607920927509</c:v>
                </c:pt>
                <c:pt idx="83">
                  <c:v>3.1293031309880548</c:v>
                </c:pt>
                <c:pt idx="84">
                  <c:v>2.961990479236134</c:v>
                </c:pt>
                <c:pt idx="85">
                  <c:v>2.7845170623786744</c:v>
                </c:pt>
                <c:pt idx="86">
                  <c:v>2.6222249645847553</c:v>
                </c:pt>
                <c:pt idx="87">
                  <c:v>2.4691752368613931</c:v>
                </c:pt>
                <c:pt idx="88">
                  <c:v>2.2804235394451351</c:v>
                </c:pt>
                <c:pt idx="89">
                  <c:v>2.1300745449171496</c:v>
                </c:pt>
                <c:pt idx="90">
                  <c:v>1.9766572487420737</c:v>
                </c:pt>
                <c:pt idx="91">
                  <c:v>1.8337062808183331</c:v>
                </c:pt>
                <c:pt idx="92">
                  <c:v>1.6928051626469747</c:v>
                </c:pt>
                <c:pt idx="93">
                  <c:v>1.5385187426623537</c:v>
                </c:pt>
                <c:pt idx="94">
                  <c:v>1.4018102015523177</c:v>
                </c:pt>
                <c:pt idx="95">
                  <c:v>1.292069648596482</c:v>
                </c:pt>
                <c:pt idx="96">
                  <c:v>1.1529951792175319</c:v>
                </c:pt>
                <c:pt idx="97">
                  <c:v>1.0574546247282164</c:v>
                </c:pt>
                <c:pt idx="98">
                  <c:v>0.95081545371076071</c:v>
                </c:pt>
                <c:pt idx="99">
                  <c:v>0.87057697283322721</c:v>
                </c:pt>
                <c:pt idx="100">
                  <c:v>0.78465077623985324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AA-40B8-B5D6-964FD1A93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x~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正弦力!$I$12:$I$112</c:f>
              <c:numCache>
                <c:formatCode>0.000_ </c:formatCode>
                <c:ptCount val="101"/>
                <c:pt idx="0">
                  <c:v>5.9288257678273941E-3</c:v>
                </c:pt>
                <c:pt idx="1">
                  <c:v>5.9288257678273941E-3</c:v>
                </c:pt>
                <c:pt idx="2">
                  <c:v>5.5888117982241742E-3</c:v>
                </c:pt>
                <c:pt idx="3">
                  <c:v>6.7297784249755873E-3</c:v>
                </c:pt>
                <c:pt idx="4">
                  <c:v>1.0939314904968751E-2</c:v>
                </c:pt>
                <c:pt idx="5">
                  <c:v>1.6050357038556253E-2</c:v>
                </c:pt>
                <c:pt idx="6">
                  <c:v>2.9102601875955005E-2</c:v>
                </c:pt>
                <c:pt idx="7">
                  <c:v>4.9607463845197847E-2</c:v>
                </c:pt>
                <c:pt idx="8">
                  <c:v>7.597662262526006E-2</c:v>
                </c:pt>
                <c:pt idx="9">
                  <c:v>0.10986380760477626</c:v>
                </c:pt>
                <c:pt idx="10">
                  <c:v>0.15134111830283295</c:v>
                </c:pt>
                <c:pt idx="11">
                  <c:v>0.20202422912649157</c:v>
                </c:pt>
                <c:pt idx="12">
                  <c:v>0.258620366485804</c:v>
                </c:pt>
                <c:pt idx="13">
                  <c:v>0.32682638450970652</c:v>
                </c:pt>
                <c:pt idx="14">
                  <c:v>0.40216279759248463</c:v>
                </c:pt>
                <c:pt idx="15">
                  <c:v>0.48495205879276265</c:v>
                </c:pt>
                <c:pt idx="16">
                  <c:v>0.57762882181345221</c:v>
                </c:pt>
                <c:pt idx="17">
                  <c:v>0.68017794080120741</c:v>
                </c:pt>
                <c:pt idx="18">
                  <c:v>0.79116586407359057</c:v>
                </c:pt>
                <c:pt idx="19">
                  <c:v>0.90905014834758291</c:v>
                </c:pt>
                <c:pt idx="20">
                  <c:v>1.0358721893396459</c:v>
                </c:pt>
                <c:pt idx="21">
                  <c:v>1.1703978789714553</c:v>
                </c:pt>
                <c:pt idx="22">
                  <c:v>1.3131247051240087</c:v>
                </c:pt>
                <c:pt idx="23">
                  <c:v>1.4605930878959079</c:v>
                </c:pt>
                <c:pt idx="24">
                  <c:v>1.6147545732903925</c:v>
                </c:pt>
                <c:pt idx="25">
                  <c:v>1.775613000558415</c:v>
                </c:pt>
                <c:pt idx="26">
                  <c:v>1.9418810284035097</c:v>
                </c:pt>
                <c:pt idx="27">
                  <c:v>2.1136575968393743</c:v>
                </c:pt>
                <c:pt idx="28">
                  <c:v>2.2886347561670295</c:v>
                </c:pt>
                <c:pt idx="29">
                  <c:v>2.4646004533759975</c:v>
                </c:pt>
                <c:pt idx="30">
                  <c:v>2.6427952431657267</c:v>
                </c:pt>
                <c:pt idx="31">
                  <c:v>2.8247970967759604</c:v>
                </c:pt>
                <c:pt idx="32">
                  <c:v>3.0069232187655093</c:v>
                </c:pt>
                <c:pt idx="33">
                  <c:v>3.1898836354631563</c:v>
                </c:pt>
                <c:pt idx="34">
                  <c:v>3.3733421632112863</c:v>
                </c:pt>
                <c:pt idx="35">
                  <c:v>3.5548611299894453</c:v>
                </c:pt>
                <c:pt idx="36">
                  <c:v>3.7364165923140553</c:v>
                </c:pt>
                <c:pt idx="37">
                  <c:v>3.9162489718201741</c:v>
                </c:pt>
                <c:pt idx="38">
                  <c:v>4.0916809115822375</c:v>
                </c:pt>
                <c:pt idx="39">
                  <c:v>4.2644689485453471</c:v>
                </c:pt>
                <c:pt idx="40">
                  <c:v>4.4305896014267248</c:v>
                </c:pt>
                <c:pt idx="41">
                  <c:v>4.5936310356947612</c:v>
                </c:pt>
                <c:pt idx="42">
                  <c:v>4.7523180690753719</c:v>
                </c:pt>
                <c:pt idx="43">
                  <c:v>4.9052167045119912</c:v>
                </c:pt>
                <c:pt idx="44">
                  <c:v>5.0494960693423083</c:v>
                </c:pt>
                <c:pt idx="45">
                  <c:v>5.1856209627226786</c:v>
                </c:pt>
                <c:pt idx="46">
                  <c:v>5.3135409132185139</c:v>
                </c:pt>
                <c:pt idx="47">
                  <c:v>5.4326787457140187</c:v>
                </c:pt>
                <c:pt idx="48">
                  <c:v>5.5445543204179293</c:v>
                </c:pt>
                <c:pt idx="49">
                  <c:v>5.648586683596629</c:v>
                </c:pt>
                <c:pt idx="50">
                  <c:v>5.7420712400882126</c:v>
                </c:pt>
                <c:pt idx="51">
                  <c:v>5.8236368211486829</c:v>
                </c:pt>
                <c:pt idx="52">
                  <c:v>5.8956974025485547</c:v>
                </c:pt>
                <c:pt idx="53">
                  <c:v>5.9582376193260336</c:v>
                </c:pt>
                <c:pt idx="54">
                  <c:v>6.0094041521185781</c:v>
                </c:pt>
                <c:pt idx="55">
                  <c:v>6.0497530366578038</c:v>
                </c:pt>
                <c:pt idx="56">
                  <c:v>6.0793957843082005</c:v>
                </c:pt>
                <c:pt idx="57">
                  <c:v>6.0978756715800824</c:v>
                </c:pt>
                <c:pt idx="58">
                  <c:v>6.1052007183673878</c:v>
                </c:pt>
                <c:pt idx="59">
                  <c:v>6.102082135016996</c:v>
                </c:pt>
                <c:pt idx="60">
                  <c:v>6.0866358850542612</c:v>
                </c:pt>
                <c:pt idx="61">
                  <c:v>6.0578235354111731</c:v>
                </c:pt>
                <c:pt idx="62">
                  <c:v>6.019876871827841</c:v>
                </c:pt>
                <c:pt idx="63">
                  <c:v>5.9715634384401692</c:v>
                </c:pt>
                <c:pt idx="64">
                  <c:v>5.9106666355985773</c:v>
                </c:pt>
                <c:pt idx="65">
                  <c:v>5.8398951283660718</c:v>
                </c:pt>
                <c:pt idx="66">
                  <c:v>5.7577762271466355</c:v>
                </c:pt>
                <c:pt idx="67">
                  <c:v>5.6694924283372741</c:v>
                </c:pt>
                <c:pt idx="68">
                  <c:v>5.5674279757673615</c:v>
                </c:pt>
                <c:pt idx="69">
                  <c:v>5.4564042638862951</c:v>
                </c:pt>
                <c:pt idx="70">
                  <c:v>5.3362409584126267</c:v>
                </c:pt>
                <c:pt idx="71">
                  <c:v>5.2065967580275743</c:v>
                </c:pt>
                <c:pt idx="72">
                  <c:v>5.0726817890031528</c:v>
                </c:pt>
                <c:pt idx="73">
                  <c:v>4.9302580243905503</c:v>
                </c:pt>
                <c:pt idx="74">
                  <c:v>4.780864021910725</c:v>
                </c:pt>
                <c:pt idx="75">
                  <c:v>4.6238750391510548</c:v>
                </c:pt>
                <c:pt idx="76">
                  <c:v>4.4628112879328139</c:v>
                </c:pt>
                <c:pt idx="77">
                  <c:v>4.2978713072664263</c:v>
                </c:pt>
                <c:pt idx="78">
                  <c:v>4.1276147037972208</c:v>
                </c:pt>
                <c:pt idx="79">
                  <c:v>3.956682282371724</c:v>
                </c:pt>
                <c:pt idx="80">
                  <c:v>3.7797595891310478</c:v>
                </c:pt>
                <c:pt idx="81">
                  <c:v>3.6010589271151945</c:v>
                </c:pt>
                <c:pt idx="82">
                  <c:v>3.4197527578067897</c:v>
                </c:pt>
                <c:pt idx="83">
                  <c:v>3.237684166570773</c:v>
                </c:pt>
                <c:pt idx="84">
                  <c:v>3.0554440667650296</c:v>
                </c:pt>
                <c:pt idx="85">
                  <c:v>2.8743107777885379</c:v>
                </c:pt>
                <c:pt idx="86">
                  <c:v>2.6938357105362698</c:v>
                </c:pt>
                <c:pt idx="87">
                  <c:v>2.5161481699134658</c:v>
                </c:pt>
                <c:pt idx="88">
                  <c:v>2.3425667923278555</c:v>
                </c:pt>
                <c:pt idx="89">
                  <c:v>2.1697774186387924</c:v>
                </c:pt>
                <c:pt idx="90">
                  <c:v>2.0021986455873422</c:v>
                </c:pt>
                <c:pt idx="91">
                  <c:v>1.8396483889964843</c:v>
                </c:pt>
                <c:pt idx="92">
                  <c:v>1.6833019679171217</c:v>
                </c:pt>
                <c:pt idx="93">
                  <c:v>1.5333587622551343</c:v>
                </c:pt>
                <c:pt idx="94">
                  <c:v>1.3884355141923466</c:v>
                </c:pt>
                <c:pt idx="95">
                  <c:v>1.2503620756038836</c:v>
                </c:pt>
                <c:pt idx="96">
                  <c:v>1.1217005252574357</c:v>
                </c:pt>
                <c:pt idx="97">
                  <c:v>0.99910057388480944</c:v>
                </c:pt>
                <c:pt idx="98">
                  <c:v>0.88680570613408083</c:v>
                </c:pt>
                <c:pt idx="99">
                  <c:v>0.78314180904847186</c:v>
                </c:pt>
                <c:pt idx="100">
                  <c:v>0.69032027609671209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1C-4B5C-BAD9-802D17522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v~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正弦力!$J$12:$J$112</c:f>
              <c:numCache>
                <c:formatCode>0.000_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1.2558103905862695E-2</c:v>
                </c:pt>
                <c:pt idx="3">
                  <c:v>3.6368940228137275E-2</c:v>
                </c:pt>
                <c:pt idx="4">
                  <c:v>7.0208309122468518E-2</c:v>
                </c:pt>
                <c:pt idx="5">
                  <c:v>0.11292545564319267</c:v>
                </c:pt>
                <c:pt idx="6">
                  <c:v>0.16343630895386291</c:v>
                </c:pt>
                <c:pt idx="7">
                  <c:v>0.2207175885954123</c:v>
                </c:pt>
                <c:pt idx="8">
                  <c:v>0.28380168804888567</c:v>
                </c:pt>
                <c:pt idx="9">
                  <c:v>0.35177225406434015</c:v>
                </c:pt>
                <c:pt idx="10">
                  <c:v>0.42376038765370544</c:v>
                </c:pt>
                <c:pt idx="11">
                  <c:v>0.49894139934682957</c:v>
                </c:pt>
                <c:pt idx="12">
                  <c:v>0.57653205736188462</c:v>
                </c:pt>
                <c:pt idx="13">
                  <c:v>0.65578827281143381</c:v>
                </c:pt>
                <c:pt idx="14">
                  <c:v>0.7360031710145728</c:v>
                </c:pt>
                <c:pt idx="15">
                  <c:v>0.81650550246827325</c:v>
                </c:pt>
                <c:pt idx="16">
                  <c:v>0.89665835109643544</c:v>
                </c:pt>
                <c:pt idx="17">
                  <c:v>0.97585810108719495</c:v>
                </c:pt>
                <c:pt idx="18">
                  <c:v>1.0535336269872482</c:v>
                </c:pt>
                <c:pt idx="19">
                  <c:v>1.1291456747817274</c:v>
                </c:pt>
                <c:pt idx="20">
                  <c:v>1.202186404481205</c:v>
                </c:pt>
                <c:pt idx="21">
                  <c:v>1.2721790672921152</c:v>
                </c:pt>
                <c:pt idx="22">
                  <c:v>1.33867779278863</c:v>
                </c:pt>
                <c:pt idx="23">
                  <c:v>1.4012674636555049</c:v>
                </c:pt>
                <c:pt idx="24">
                  <c:v>1.4595636575528501</c:v>
                </c:pt>
                <c:pt idx="25">
                  <c:v>1.5132126374832195</c:v>
                </c:pt>
                <c:pt idx="26">
                  <c:v>1.5618913737348976</c:v>
                </c:pt>
                <c:pt idx="27">
                  <c:v>1.6053075820470621</c:v>
                </c:pt>
                <c:pt idx="28">
                  <c:v>1.6431997641052516</c:v>
                </c:pt>
                <c:pt idx="29">
                  <c:v>1.6753372378404641</c:v>
                </c:pt>
                <c:pt idx="30">
                  <c:v>1.7015201462821439</c:v>
                </c:pt>
                <c:pt idx="31">
                  <c:v>1.7215794349129603</c:v>
                </c:pt>
                <c:pt idx="32">
                  <c:v>1.7353767885993143</c:v>
                </c:pt>
                <c:pt idx="33">
                  <c:v>1.7428045202325868</c:v>
                </c:pt>
                <c:pt idx="34">
                  <c:v>1.7437854042181009</c:v>
                </c:pt>
                <c:pt idx="35">
                  <c:v>1.7382724488966939</c:v>
                </c:pt>
                <c:pt idx="36">
                  <c:v>1.7262486028820141</c:v>
                </c:pt>
                <c:pt idx="37">
                  <c:v>1.7077263911489704</c:v>
                </c:pt>
                <c:pt idx="38">
                  <c:v>1.6827474775183557</c:v>
                </c:pt>
                <c:pt idx="39">
                  <c:v>1.6513821509522579</c:v>
                </c:pt>
                <c:pt idx="40">
                  <c:v>1.6137287338067698</c:v>
                </c:pt>
                <c:pt idx="41">
                  <c:v>1.5699129108845875</c:v>
                </c:pt>
                <c:pt idx="42">
                  <c:v>1.520086978791928</c:v>
                </c:pt>
                <c:pt idx="43">
                  <c:v>1.4644290157330782</c:v>
                </c:pt>
                <c:pt idx="44">
                  <c:v>1.4031419724727849</c:v>
                </c:pt>
                <c:pt idx="45">
                  <c:v>1.3364526857624419</c:v>
                </c:pt>
                <c:pt idx="46">
                  <c:v>1.2646108160611873</c:v>
                </c:pt>
                <c:pt idx="47">
                  <c:v>1.1878877118880395</c:v>
                </c:pt>
                <c:pt idx="48">
                  <c:v>1.1065752036163807</c:v>
                </c:pt>
                <c:pt idx="49">
                  <c:v>1.0209843299676036</c:v>
                </c:pt>
                <c:pt idx="50">
                  <c:v>0.93144400087670587</c:v>
                </c:pt>
                <c:pt idx="51">
                  <c:v>0.83829960078903532</c:v>
                </c:pt>
                <c:pt idx="52">
                  <c:v>0.74191153680426913</c:v>
                </c:pt>
                <c:pt idx="53">
                  <c:v>0.64265373641098134</c:v>
                </c:pt>
                <c:pt idx="54">
                  <c:v>0.54091209985273825</c:v>
                </c:pt>
                <c:pt idx="55">
                  <c:v>0.4370829124344936</c:v>
                </c:pt>
                <c:pt idx="56">
                  <c:v>0.33157122231605496</c:v>
                </c:pt>
                <c:pt idx="57">
                  <c:v>0.22478918954751378</c:v>
                </c:pt>
                <c:pt idx="58">
                  <c:v>0.11715441227974782</c:v>
                </c:pt>
                <c:pt idx="59">
                  <c:v>9.0882362314298054E-3</c:v>
                </c:pt>
                <c:pt idx="60">
                  <c:v>-9.89859463875125E-2</c:v>
                </c:pt>
                <c:pt idx="61">
                  <c:v>-0.20664440220725594</c:v>
                </c:pt>
                <c:pt idx="62">
                  <c:v>-0.31346475993626843</c:v>
                </c:pt>
                <c:pt idx="63">
                  <c:v>-0.41902770512837928</c:v>
                </c:pt>
                <c:pt idx="64">
                  <c:v>-0.52291866009982368</c:v>
                </c:pt>
                <c:pt idx="65">
                  <c:v>-0.62472944264499919</c:v>
                </c:pt>
                <c:pt idx="66">
                  <c:v>-0.7240598972554888</c:v>
                </c:pt>
                <c:pt idx="67">
                  <c:v>-0.82051949263034274</c:v>
                </c:pt>
                <c:pt idx="68">
                  <c:v>-0.91372887937608116</c:v>
                </c:pt>
                <c:pt idx="69">
                  <c:v>-1.003321401931677</c:v>
                </c:pt>
                <c:pt idx="70">
                  <c:v>-1.0889445589161597</c:v>
                </c:pt>
                <c:pt idx="71">
                  <c:v>-1.1702614062835746</c:v>
                </c:pt>
                <c:pt idx="72">
                  <c:v>-1.2469518978809433</c:v>
                </c:pt>
                <c:pt idx="73">
                  <c:v>-1.3187141582385866</c:v>
                </c:pt>
                <c:pt idx="74">
                  <c:v>-1.3852656826776237</c:v>
                </c:pt>
                <c:pt idx="75">
                  <c:v>-1.4463444600955158</c:v>
                </c:pt>
                <c:pt idx="76">
                  <c:v>-1.5017100140859643</c:v>
                </c:pt>
                <c:pt idx="77">
                  <c:v>-1.5511443583630222</c:v>
                </c:pt>
                <c:pt idx="78">
                  <c:v>-1.5944528627896157</c:v>
                </c:pt>
                <c:pt idx="79">
                  <c:v>-1.6314650266563921</c:v>
                </c:pt>
                <c:pt idx="80">
                  <c:v>-1.6620351562164792</c:v>
                </c:pt>
                <c:pt idx="81">
                  <c:v>-1.686042943853862</c:v>
                </c:pt>
                <c:pt idx="82">
                  <c:v>-1.7033939466461261</c:v>
                </c:pt>
                <c:pt idx="83">
                  <c:v>-1.7140199624747174</c:v>
                </c:pt>
                <c:pt idx="84">
                  <c:v>-1.7178793022360184</c:v>
                </c:pt>
                <c:pt idx="85">
                  <c:v>-1.7149569571128196</c:v>
                </c:pt>
                <c:pt idx="86">
                  <c:v>-1.7052646602765273</c:v>
                </c:pt>
                <c:pt idx="87">
                  <c:v>-1.6888408428040327</c:v>
                </c:pt>
                <c:pt idx="88">
                  <c:v>-1.6657504840079118</c:v>
                </c:pt>
                <c:pt idx="89">
                  <c:v>-1.6360848567928583</c:v>
                </c:pt>
                <c:pt idx="90">
                  <c:v>-1.5999611690633102</c:v>
                </c:pt>
                <c:pt idx="91">
                  <c:v>-1.5575221026154737</c:v>
                </c:pt>
                <c:pt idx="92">
                  <c:v>-1.5089352513497258</c:v>
                </c:pt>
                <c:pt idx="93">
                  <c:v>-1.4543924610350962</c:v>
                </c:pt>
                <c:pt idx="94">
                  <c:v>-1.3941090732446009</c:v>
                </c:pt>
                <c:pt idx="95">
                  <c:v>-1.3283230764570764</c:v>
                </c:pt>
                <c:pt idx="96">
                  <c:v>-1.2572941676863583</c:v>
                </c:pt>
                <c:pt idx="97">
                  <c:v>-1.1813027283506934</c:v>
                </c:pt>
                <c:pt idx="98">
                  <c:v>-1.1006487184327691</c:v>
                </c:pt>
                <c:pt idx="99">
                  <c:v>-1.0156504933023529</c:v>
                </c:pt>
                <c:pt idx="100">
                  <c:v>-0.92664354787798031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A8-4647-9E0E-0FC0CAEE7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x-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正弦力!$K$12:$K$112</c:f>
              <c:numCache>
                <c:formatCode>0.000_ </c:formatCode>
                <c:ptCount val="101"/>
                <c:pt idx="0">
                  <c:v>5.9288257678273941E-3</c:v>
                </c:pt>
                <c:pt idx="1">
                  <c:v>4.2287559198112964E-3</c:v>
                </c:pt>
                <c:pt idx="2">
                  <c:v>5.0145929790498932E-3</c:v>
                </c:pt>
                <c:pt idx="3">
                  <c:v>9.5929907108727713E-3</c:v>
                </c:pt>
                <c:pt idx="4">
                  <c:v>1.3903710116720067E-3</c:v>
                </c:pt>
                <c:pt idx="5">
                  <c:v>2.4848853403953673E-2</c:v>
                </c:pt>
                <c:pt idx="6">
                  <c:v>4.9908757245237759E-2</c:v>
                </c:pt>
                <c:pt idx="7">
                  <c:v>7.1094463447802764E-2</c:v>
                </c:pt>
                <c:pt idx="8">
                  <c:v>0.10351170349839818</c:v>
                </c:pt>
                <c:pt idx="9">
                  <c:v>0.14136423406288956</c:v>
                </c:pt>
                <c:pt idx="10">
                  <c:v>0.19287647859427334</c:v>
                </c:pt>
                <c:pt idx="11">
                  <c:v>0.23553421624963883</c:v>
                </c:pt>
                <c:pt idx="12">
                  <c:v>0.31138442792437437</c:v>
                </c:pt>
                <c:pt idx="13">
                  <c:v>0.37561431351788022</c:v>
                </c:pt>
                <c:pt idx="14">
                  <c:v>0.44810751808658822</c:v>
                </c:pt>
                <c:pt idx="15">
                  <c:v>0.54008312266207359</c:v>
                </c:pt>
                <c:pt idx="16">
                  <c:v>0.64204524120401052</c:v>
                </c:pt>
                <c:pt idx="17">
                  <c:v>0.74718850661952563</c:v>
                </c:pt>
                <c:pt idx="18">
                  <c:v>0.85382047194992827</c:v>
                </c:pt>
                <c:pt idx="19">
                  <c:v>0.9785875159170343</c:v>
                </c:pt>
                <c:pt idx="20">
                  <c:v>1.1074074352580907</c:v>
                </c:pt>
                <c:pt idx="21">
                  <c:v>1.247942476088165</c:v>
                </c:pt>
                <c:pt idx="22">
                  <c:v>1.38112772258919</c:v>
                </c:pt>
                <c:pt idx="23">
                  <c:v>1.5307667830405784</c:v>
                </c:pt>
                <c:pt idx="24">
                  <c:v>1.68926488085408</c:v>
                </c:pt>
                <c:pt idx="25">
                  <c:v>1.8503468210422789</c:v>
                </c:pt>
                <c:pt idx="26">
                  <c:v>2.0198181837153828</c:v>
                </c:pt>
                <c:pt idx="27">
                  <c:v>2.1858896024541181</c:v>
                </c:pt>
                <c:pt idx="28">
                  <c:v>2.3468633601592446</c:v>
                </c:pt>
                <c:pt idx="29">
                  <c:v>2.5179057834044105</c:v>
                </c:pt>
                <c:pt idx="30">
                  <c:v>2.7020444380758222</c:v>
                </c:pt>
                <c:pt idx="31">
                  <c:v>2.8746379892672249</c:v>
                </c:pt>
                <c:pt idx="32">
                  <c:v>3.0540369079540874</c:v>
                </c:pt>
                <c:pt idx="33">
                  <c:v>3.2357740140875126</c:v>
                </c:pt>
                <c:pt idx="34">
                  <c:v>3.4090442949930315</c:v>
                </c:pt>
                <c:pt idx="35">
                  <c:v>3.5935022171641497</c:v>
                </c:pt>
                <c:pt idx="36">
                  <c:v>3.7724541884036427</c:v>
                </c:pt>
                <c:pt idx="37">
                  <c:v>3.9395454750560059</c:v>
                </c:pt>
                <c:pt idx="38">
                  <c:v>4.1142473576386092</c:v>
                </c:pt>
                <c:pt idx="39">
                  <c:v>4.2693811374761061</c:v>
                </c:pt>
                <c:pt idx="40">
                  <c:v>4.43893240586352</c:v>
                </c:pt>
                <c:pt idx="41">
                  <c:v>4.6021097471555201</c:v>
                </c:pt>
                <c:pt idx="42">
                  <c:v>4.7567677568625033</c:v>
                </c:pt>
                <c:pt idx="43">
                  <c:v>4.8943990207970387</c:v>
                </c:pt>
                <c:pt idx="44">
                  <c:v>5.0285495500077655</c:v>
                </c:pt>
                <c:pt idx="45">
                  <c:v>5.156994372320634</c:v>
                </c:pt>
                <c:pt idx="46">
                  <c:v>5.2769246676654458</c:v>
                </c:pt>
                <c:pt idx="47">
                  <c:v>5.3981127632895518</c:v>
                </c:pt>
                <c:pt idx="48">
                  <c:v>5.5114285345032386</c:v>
                </c:pt>
                <c:pt idx="49">
                  <c:v>5.605517301070746</c:v>
                </c:pt>
                <c:pt idx="50">
                  <c:v>5.6841771449522103</c:v>
                </c:pt>
                <c:pt idx="51">
                  <c:v>5.7647899277535259</c:v>
                </c:pt>
                <c:pt idx="52">
                  <c:v>5.8374427180338131</c:v>
                </c:pt>
                <c:pt idx="53">
                  <c:v>5.8927434150832667</c:v>
                </c:pt>
                <c:pt idx="54">
                  <c:v>5.9406925248883384</c:v>
                </c:pt>
                <c:pt idx="55">
                  <c:v>5.979425318692539</c:v>
                </c:pt>
                <c:pt idx="56">
                  <c:v>6.006009609509583</c:v>
                </c:pt>
                <c:pt idx="57">
                  <c:v>6.0221063107428519</c:v>
                </c:pt>
                <c:pt idx="58">
                  <c:v>6.0310305954755572</c:v>
                </c:pt>
                <c:pt idx="59">
                  <c:v>6.0203067670876056</c:v>
                </c:pt>
                <c:pt idx="60">
                  <c:v>5.9920671100325791</c:v>
                </c:pt>
                <c:pt idx="61">
                  <c:v>5.9714124185981419</c:v>
                </c:pt>
                <c:pt idx="62">
                  <c:v>5.935042084857618</c:v>
                </c:pt>
                <c:pt idx="63">
                  <c:v>5.8765932767964006</c:v>
                </c:pt>
                <c:pt idx="64">
                  <c:v>5.818268429485963</c:v>
                </c:pt>
                <c:pt idx="65">
                  <c:v>5.7416653435913911</c:v>
                </c:pt>
                <c:pt idx="66">
                  <c:v>5.6783871817275724</c:v>
                </c:pt>
                <c:pt idx="67">
                  <c:v>5.5694299118028834</c:v>
                </c:pt>
                <c:pt idx="68">
                  <c:v>5.4691738560500696</c:v>
                </c:pt>
                <c:pt idx="69">
                  <c:v>5.3572484374837916</c:v>
                </c:pt>
                <c:pt idx="70">
                  <c:v>5.232492235945446</c:v>
                </c:pt>
                <c:pt idx="71">
                  <c:v>5.1221526160472557</c:v>
                </c:pt>
                <c:pt idx="72">
                  <c:v>4.9840389148806103</c:v>
                </c:pt>
                <c:pt idx="73">
                  <c:v>4.8426450911107199</c:v>
                </c:pt>
                <c:pt idx="74">
                  <c:v>4.6885519494511865</c:v>
                </c:pt>
                <c:pt idx="75">
                  <c:v>4.5417285131076079</c:v>
                </c:pt>
                <c:pt idx="76">
                  <c:v>4.3889663916438604</c:v>
                </c:pt>
                <c:pt idx="77">
                  <c:v>4.2221604691019099</c:v>
                </c:pt>
                <c:pt idx="78">
                  <c:v>4.0701790280645458</c:v>
                </c:pt>
                <c:pt idx="79">
                  <c:v>3.8878013294965399</c:v>
                </c:pt>
                <c:pt idx="80">
                  <c:v>3.7172738571600199</c:v>
                </c:pt>
                <c:pt idx="81">
                  <c:v>3.5375495525001011</c:v>
                </c:pt>
                <c:pt idx="82">
                  <c:v>3.3611067749497705</c:v>
                </c:pt>
                <c:pt idx="83">
                  <c:v>3.1834936487794137</c:v>
                </c:pt>
                <c:pt idx="84">
                  <c:v>3.008717273000582</c:v>
                </c:pt>
                <c:pt idx="85">
                  <c:v>2.8294139200836064</c:v>
                </c:pt>
                <c:pt idx="86">
                  <c:v>2.6580303375605125</c:v>
                </c:pt>
                <c:pt idx="87">
                  <c:v>2.4926617033874292</c:v>
                </c:pt>
                <c:pt idx="88">
                  <c:v>2.3114951658864955</c:v>
                </c:pt>
                <c:pt idx="89">
                  <c:v>2.149925981777971</c:v>
                </c:pt>
                <c:pt idx="90">
                  <c:v>1.9894279471647081</c:v>
                </c:pt>
                <c:pt idx="91">
                  <c:v>1.8366773349074088</c:v>
                </c:pt>
                <c:pt idx="92">
                  <c:v>1.6880535652820483</c:v>
                </c:pt>
                <c:pt idx="93">
                  <c:v>1.535938752458744</c:v>
                </c:pt>
                <c:pt idx="94">
                  <c:v>1.395122857872332</c:v>
                </c:pt>
                <c:pt idx="95">
                  <c:v>1.2712158621001828</c:v>
                </c:pt>
                <c:pt idx="96">
                  <c:v>1.1373478522374838</c:v>
                </c:pt>
                <c:pt idx="97">
                  <c:v>1.028277599306513</c:v>
                </c:pt>
                <c:pt idx="98">
                  <c:v>0.91881057992242077</c:v>
                </c:pt>
                <c:pt idx="99">
                  <c:v>0.82685939094084948</c:v>
                </c:pt>
                <c:pt idx="100">
                  <c:v>0.73748552616828267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9-474C-8BFE-4AEA3CF9D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v-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正弦力!$L$12:$L$112</c:f>
              <c:numCache>
                <c:formatCode>0.000_ </c:formatCode>
                <c:ptCount val="101"/>
                <c:pt idx="0">
                  <c:v>0</c:v>
                </c:pt>
                <c:pt idx="1">
                  <c:v>-3.4001396960321958E-3</c:v>
                </c:pt>
                <c:pt idx="2">
                  <c:v>1.1409666267514133E-2</c:v>
                </c:pt>
                <c:pt idx="3">
                  <c:v>4.2095364799931645E-2</c:v>
                </c:pt>
                <c:pt idx="4">
                  <c:v>5.1110421335875025E-2</c:v>
                </c:pt>
                <c:pt idx="5">
                  <c:v>0.13052244837398752</c:v>
                </c:pt>
                <c:pt idx="6">
                  <c:v>0.20504861969242844</c:v>
                </c:pt>
                <c:pt idx="7">
                  <c:v>0.26369158780062213</c:v>
                </c:pt>
                <c:pt idx="8">
                  <c:v>0.33887184979516194</c:v>
                </c:pt>
                <c:pt idx="9">
                  <c:v>0.4147731069805668</c:v>
                </c:pt>
                <c:pt idx="10">
                  <c:v>0.50683110823658617</c:v>
                </c:pt>
                <c:pt idx="11">
                  <c:v>0.56596137359312415</c:v>
                </c:pt>
                <c:pt idx="12">
                  <c:v>0.68206018023902537</c:v>
                </c:pt>
                <c:pt idx="13">
                  <c:v>0.7533641308277812</c:v>
                </c:pt>
                <c:pt idx="14">
                  <c:v>0.82789261200277997</c:v>
                </c:pt>
                <c:pt idx="15">
                  <c:v>0.92676763020689523</c:v>
                </c:pt>
                <c:pt idx="16">
                  <c:v>1.0254911898775521</c:v>
                </c:pt>
                <c:pt idx="17">
                  <c:v>1.1098792327238314</c:v>
                </c:pt>
                <c:pt idx="18">
                  <c:v>1.1788428427399236</c:v>
                </c:pt>
                <c:pt idx="19">
                  <c:v>1.2682204099206302</c:v>
                </c:pt>
                <c:pt idx="20">
                  <c:v>1.3452568963180944</c:v>
                </c:pt>
                <c:pt idx="21">
                  <c:v>1.4272682615255348</c:v>
                </c:pt>
                <c:pt idx="22">
                  <c:v>1.4746838277189924</c:v>
                </c:pt>
                <c:pt idx="23">
                  <c:v>1.5416148539448462</c:v>
                </c:pt>
                <c:pt idx="24">
                  <c:v>1.6085842726802249</c:v>
                </c:pt>
                <c:pt idx="25">
                  <c:v>1.6626802784509473</c:v>
                </c:pt>
                <c:pt idx="26">
                  <c:v>1.7177656843586437</c:v>
                </c:pt>
                <c:pt idx="27">
                  <c:v>1.7497715932765503</c:v>
                </c:pt>
                <c:pt idx="28">
                  <c:v>1.7596569720896822</c:v>
                </c:pt>
                <c:pt idx="29">
                  <c:v>1.7819478978972905</c:v>
                </c:pt>
                <c:pt idx="30">
                  <c:v>1.8200185361023349</c:v>
                </c:pt>
                <c:pt idx="31">
                  <c:v>1.8212612198954894</c:v>
                </c:pt>
                <c:pt idx="32">
                  <c:v>1.8296041669764707</c:v>
                </c:pt>
                <c:pt idx="33">
                  <c:v>1.834585277481299</c:v>
                </c:pt>
                <c:pt idx="34">
                  <c:v>1.8151896677815909</c:v>
                </c:pt>
                <c:pt idx="35">
                  <c:v>1.8155546232461024</c:v>
                </c:pt>
                <c:pt idx="36">
                  <c:v>1.7983237950611888</c:v>
                </c:pt>
                <c:pt idx="37">
                  <c:v>1.7543193976206337</c:v>
                </c:pt>
                <c:pt idx="38">
                  <c:v>1.7278803696310983</c:v>
                </c:pt>
                <c:pt idx="39">
                  <c:v>1.661206528813777</c:v>
                </c:pt>
                <c:pt idx="40">
                  <c:v>1.6304143426803603</c:v>
                </c:pt>
                <c:pt idx="41">
                  <c:v>1.5868703338061045</c:v>
                </c:pt>
                <c:pt idx="42">
                  <c:v>1.5289863543661917</c:v>
                </c:pt>
                <c:pt idx="43">
                  <c:v>1.442793648303174</c:v>
                </c:pt>
                <c:pt idx="44">
                  <c:v>1.3612489338037002</c:v>
                </c:pt>
                <c:pt idx="45">
                  <c:v>1.2791995049583527</c:v>
                </c:pt>
                <c:pt idx="46">
                  <c:v>1.1913783249550511</c:v>
                </c:pt>
                <c:pt idx="47">
                  <c:v>1.118755747039105</c:v>
                </c:pt>
                <c:pt idx="48">
                  <c:v>1.0403236317870002</c:v>
                </c:pt>
                <c:pt idx="49">
                  <c:v>0.9348455649158367</c:v>
                </c:pt>
                <c:pt idx="50">
                  <c:v>0.81565581060470127</c:v>
                </c:pt>
                <c:pt idx="51">
                  <c:v>0.72060581399872237</c:v>
                </c:pt>
                <c:pt idx="52">
                  <c:v>0.62540216777478597</c:v>
                </c:pt>
                <c:pt idx="53">
                  <c:v>0.5116653279254485</c:v>
                </c:pt>
                <c:pt idx="54">
                  <c:v>0.40348884539225882</c:v>
                </c:pt>
                <c:pt idx="55">
                  <c:v>0.29642747650396395</c:v>
                </c:pt>
                <c:pt idx="56">
                  <c:v>0.18479887271882078</c:v>
                </c:pt>
                <c:pt idx="57">
                  <c:v>7.3250467873052755E-2</c:v>
                </c:pt>
                <c:pt idx="58">
                  <c:v>-3.1185833503913296E-2</c:v>
                </c:pt>
                <c:pt idx="59">
                  <c:v>-0.1544624996273502</c:v>
                </c:pt>
                <c:pt idx="60">
                  <c:v>-0.2881234964308777</c:v>
                </c:pt>
                <c:pt idx="61">
                  <c:v>-0.37946663583331847</c:v>
                </c:pt>
                <c:pt idx="62">
                  <c:v>-0.48313433387671456</c:v>
                </c:pt>
                <c:pt idx="63">
                  <c:v>-0.60896802841591735</c:v>
                </c:pt>
                <c:pt idx="64">
                  <c:v>-0.70771507232505315</c:v>
                </c:pt>
                <c:pt idx="65">
                  <c:v>-0.82118901219435969</c:v>
                </c:pt>
                <c:pt idx="66">
                  <c:v>-0.88283798809361413</c:v>
                </c:pt>
                <c:pt idx="67">
                  <c:v>-1.020644525699125</c:v>
                </c:pt>
                <c:pt idx="68">
                  <c:v>-1.1102371188106641</c:v>
                </c:pt>
                <c:pt idx="69">
                  <c:v>-1.2016330547366847</c:v>
                </c:pt>
                <c:pt idx="70">
                  <c:v>-1.2964420038505211</c:v>
                </c:pt>
                <c:pt idx="71">
                  <c:v>-1.3391496902442126</c:v>
                </c:pt>
                <c:pt idx="72">
                  <c:v>-1.4242376461260273</c:v>
                </c:pt>
                <c:pt idx="73">
                  <c:v>-1.4939400247982482</c:v>
                </c:pt>
                <c:pt idx="74">
                  <c:v>-1.5698898275967008</c:v>
                </c:pt>
                <c:pt idx="75">
                  <c:v>-1.6106375121824095</c:v>
                </c:pt>
                <c:pt idx="76">
                  <c:v>-1.6493998066638713</c:v>
                </c:pt>
                <c:pt idx="77">
                  <c:v>-1.7025660346920541</c:v>
                </c:pt>
                <c:pt idx="78">
                  <c:v>-1.7093242142549667</c:v>
                </c:pt>
                <c:pt idx="79">
                  <c:v>-1.7692269324067604</c:v>
                </c:pt>
                <c:pt idx="80">
                  <c:v>-1.7870066201585355</c:v>
                </c:pt>
                <c:pt idx="81">
                  <c:v>-1.8130616930840493</c:v>
                </c:pt>
                <c:pt idx="82">
                  <c:v>-1.8206859123601649</c:v>
                </c:pt>
                <c:pt idx="83">
                  <c:v>-1.8224009980574356</c:v>
                </c:pt>
                <c:pt idx="84">
                  <c:v>-1.8113328897649139</c:v>
                </c:pt>
                <c:pt idx="85">
                  <c:v>-1.8047506725226832</c:v>
                </c:pt>
                <c:pt idx="86">
                  <c:v>-1.7768754062280419</c:v>
                </c:pt>
                <c:pt idx="87">
                  <c:v>-1.7358137758561054</c:v>
                </c:pt>
                <c:pt idx="88">
                  <c:v>-1.7278937368906322</c:v>
                </c:pt>
                <c:pt idx="89">
                  <c:v>-1.675787730514501</c:v>
                </c:pt>
                <c:pt idx="90">
                  <c:v>-1.6255025659085787</c:v>
                </c:pt>
                <c:pt idx="91">
                  <c:v>-1.563464210793625</c:v>
                </c:pt>
                <c:pt idx="92">
                  <c:v>-1.4994320566198729</c:v>
                </c:pt>
                <c:pt idx="93">
                  <c:v>-1.4492324806278769</c:v>
                </c:pt>
                <c:pt idx="94">
                  <c:v>-1.3807343858846297</c:v>
                </c:pt>
                <c:pt idx="95">
                  <c:v>-1.2866155034644779</c:v>
                </c:pt>
                <c:pt idx="96">
                  <c:v>-1.225999513726262</c:v>
                </c:pt>
                <c:pt idx="97">
                  <c:v>-1.1229486775072863</c:v>
                </c:pt>
                <c:pt idx="98">
                  <c:v>-1.0366389708560892</c:v>
                </c:pt>
                <c:pt idx="99">
                  <c:v>-0.92821532951759755</c:v>
                </c:pt>
                <c:pt idx="100">
                  <c:v>-0.83231304773483916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4-4397-913D-A38570896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方波力!$C$12:$C$112</c:f>
              <c:numCache>
                <c:formatCode>0.000_ </c:formatCode>
                <c:ptCount val="101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12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12</c:v>
                </c:pt>
                <c:pt idx="89">
                  <c:v>12</c:v>
                </c:pt>
                <c:pt idx="90">
                  <c:v>12</c:v>
                </c:pt>
                <c:pt idx="91">
                  <c:v>12</c:v>
                </c:pt>
                <c:pt idx="92">
                  <c:v>12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94-4678-9D5F-AD93EFD76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37192"/>
        <c:axId val="455544392"/>
      </c:lineChart>
      <c:catAx>
        <c:axId val="455537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44392"/>
        <c:crosses val="autoZero"/>
        <c:auto val="1"/>
        <c:lblAlgn val="ctr"/>
        <c:lblOffset val="100"/>
        <c:noMultiLvlLbl val="0"/>
      </c:catAx>
      <c:valAx>
        <c:axId val="455544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37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r>
              <a:rPr lang="zh-CN" altLang="en-US"/>
              <a:t>‘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方波力!$D$12:$D$112</c:f>
              <c:numCache>
                <c:formatCode>0.000_ </c:formatCode>
                <c:ptCount val="101"/>
                <c:pt idx="0">
                  <c:v>10.059675380025819</c:v>
                </c:pt>
                <c:pt idx="1">
                  <c:v>9.9723363600216768</c:v>
                </c:pt>
                <c:pt idx="2">
                  <c:v>9.8461674767929335</c:v>
                </c:pt>
                <c:pt idx="3">
                  <c:v>10.020101027301514</c:v>
                </c:pt>
                <c:pt idx="4">
                  <c:v>9.9867715153485399</c:v>
                </c:pt>
                <c:pt idx="5">
                  <c:v>9.994867934195554</c:v>
                </c:pt>
                <c:pt idx="6">
                  <c:v>9.9904151763673887</c:v>
                </c:pt>
                <c:pt idx="7">
                  <c:v>9.9727661066219202</c:v>
                </c:pt>
                <c:pt idx="8">
                  <c:v>9.8175958024208718</c:v>
                </c:pt>
                <c:pt idx="9">
                  <c:v>9.8758921474674075</c:v>
                </c:pt>
                <c:pt idx="10">
                  <c:v>10.040981354419568</c:v>
                </c:pt>
                <c:pt idx="11">
                  <c:v>10.088848292080945</c:v>
                </c:pt>
                <c:pt idx="12">
                  <c:v>10.232412019359465</c:v>
                </c:pt>
                <c:pt idx="13">
                  <c:v>10.002312582341782</c:v>
                </c:pt>
                <c:pt idx="14">
                  <c:v>9.9410570481954874</c:v>
                </c:pt>
                <c:pt idx="15">
                  <c:v>10.081870810026333</c:v>
                </c:pt>
                <c:pt idx="16">
                  <c:v>9.9789656206743693</c:v>
                </c:pt>
                <c:pt idx="17">
                  <c:v>9.9894446390561829</c:v>
                </c:pt>
                <c:pt idx="18">
                  <c:v>9.9684363814832349</c:v>
                </c:pt>
                <c:pt idx="19">
                  <c:v>9.8936737774989325</c:v>
                </c:pt>
                <c:pt idx="20">
                  <c:v>9.916978907678919</c:v>
                </c:pt>
                <c:pt idx="21">
                  <c:v>9.977258448798338</c:v>
                </c:pt>
                <c:pt idx="22">
                  <c:v>10.131319159962901</c:v>
                </c:pt>
                <c:pt idx="23">
                  <c:v>10.056866676160984</c:v>
                </c:pt>
                <c:pt idx="24">
                  <c:v>10.148425192595656</c:v>
                </c:pt>
                <c:pt idx="25">
                  <c:v>12.019618824191538</c:v>
                </c:pt>
                <c:pt idx="26">
                  <c:v>12.155146552520595</c:v>
                </c:pt>
                <c:pt idx="27">
                  <c:v>11.975947297714484</c:v>
                </c:pt>
                <c:pt idx="28">
                  <c:v>12.144021858819174</c:v>
                </c:pt>
                <c:pt idx="29">
                  <c:v>11.882909554736967</c:v>
                </c:pt>
                <c:pt idx="30">
                  <c:v>12.045982604284383</c:v>
                </c:pt>
                <c:pt idx="31">
                  <c:v>12.086289731832888</c:v>
                </c:pt>
                <c:pt idx="32">
                  <c:v>11.991587189086927</c:v>
                </c:pt>
                <c:pt idx="33">
                  <c:v>12.099462493969311</c:v>
                </c:pt>
                <c:pt idx="34">
                  <c:v>11.884374337034787</c:v>
                </c:pt>
                <c:pt idx="35">
                  <c:v>12.120546309495534</c:v>
                </c:pt>
                <c:pt idx="36">
                  <c:v>12.055645567221399</c:v>
                </c:pt>
                <c:pt idx="37">
                  <c:v>12.092129062989844</c:v>
                </c:pt>
                <c:pt idx="38">
                  <c:v>12.091313972288683</c:v>
                </c:pt>
                <c:pt idx="39">
                  <c:v>11.772896476458667</c:v>
                </c:pt>
                <c:pt idx="40">
                  <c:v>11.925328754203013</c:v>
                </c:pt>
                <c:pt idx="41">
                  <c:v>12.206059732000163</c:v>
                </c:pt>
                <c:pt idx="42">
                  <c:v>11.840657210542616</c:v>
                </c:pt>
                <c:pt idx="43">
                  <c:v>11.849412786115652</c:v>
                </c:pt>
                <c:pt idx="44">
                  <c:v>11.96031816140643</c:v>
                </c:pt>
                <c:pt idx="45">
                  <c:v>12.075744011054054</c:v>
                </c:pt>
                <c:pt idx="46">
                  <c:v>12.053616499152584</c:v>
                </c:pt>
                <c:pt idx="47">
                  <c:v>12.09915292593432</c:v>
                </c:pt>
                <c:pt idx="48">
                  <c:v>12.36465762261324</c:v>
                </c:pt>
                <c:pt idx="49">
                  <c:v>11.852512833437034</c:v>
                </c:pt>
                <c:pt idx="50">
                  <c:v>9.9199986467476382</c:v>
                </c:pt>
                <c:pt idx="51">
                  <c:v>10.066803122021957</c:v>
                </c:pt>
                <c:pt idx="52">
                  <c:v>9.9992844079329046</c:v>
                </c:pt>
                <c:pt idx="53">
                  <c:v>9.9694611852058106</c:v>
                </c:pt>
                <c:pt idx="54">
                  <c:v>10.069988019628829</c:v>
                </c:pt>
                <c:pt idx="55">
                  <c:v>10.188279283623569</c:v>
                </c:pt>
                <c:pt idx="56">
                  <c:v>10.240521773289702</c:v>
                </c:pt>
                <c:pt idx="57">
                  <c:v>9.9388743177412593</c:v>
                </c:pt>
                <c:pt idx="58">
                  <c:v>10.133617502584309</c:v>
                </c:pt>
                <c:pt idx="59">
                  <c:v>10.15241769781526</c:v>
                </c:pt>
                <c:pt idx="60">
                  <c:v>10.024479587328525</c:v>
                </c:pt>
                <c:pt idx="61">
                  <c:v>9.9389121259317843</c:v>
                </c:pt>
                <c:pt idx="62">
                  <c:v>10.023987765036003</c:v>
                </c:pt>
                <c:pt idx="63">
                  <c:v>10.151619577404052</c:v>
                </c:pt>
                <c:pt idx="64">
                  <c:v>10.085031178205364</c:v>
                </c:pt>
                <c:pt idx="65">
                  <c:v>9.994436441690441</c:v>
                </c:pt>
                <c:pt idx="66">
                  <c:v>10.162913588220626</c:v>
                </c:pt>
                <c:pt idx="67">
                  <c:v>9.8967859739635564</c:v>
                </c:pt>
                <c:pt idx="68">
                  <c:v>9.9619707390723669</c:v>
                </c:pt>
                <c:pt idx="69">
                  <c:v>9.9412125159102693</c:v>
                </c:pt>
                <c:pt idx="70">
                  <c:v>9.9194350154902775</c:v>
                </c:pt>
                <c:pt idx="71">
                  <c:v>9.998571714562301</c:v>
                </c:pt>
                <c:pt idx="72">
                  <c:v>9.9678954989647082</c:v>
                </c:pt>
                <c:pt idx="73">
                  <c:v>9.8958050202175976</c:v>
                </c:pt>
                <c:pt idx="74">
                  <c:v>9.9358033752324513</c:v>
                </c:pt>
                <c:pt idx="75">
                  <c:v>11.966382604519735</c:v>
                </c:pt>
                <c:pt idx="76">
                  <c:v>11.996050758122117</c:v>
                </c:pt>
                <c:pt idx="77">
                  <c:v>11.908222737130503</c:v>
                </c:pt>
                <c:pt idx="78">
                  <c:v>11.9857167991448</c:v>
                </c:pt>
                <c:pt idx="79">
                  <c:v>11.90481982580998</c:v>
                </c:pt>
                <c:pt idx="80">
                  <c:v>12.016688644543164</c:v>
                </c:pt>
                <c:pt idx="81">
                  <c:v>11.870570547449203</c:v>
                </c:pt>
                <c:pt idx="82">
                  <c:v>12.068848767346617</c:v>
                </c:pt>
                <c:pt idx="83">
                  <c:v>11.878402534575384</c:v>
                </c:pt>
                <c:pt idx="84">
                  <c:v>11.712949368350833</c:v>
                </c:pt>
                <c:pt idx="85">
                  <c:v>12.018449516205541</c:v>
                </c:pt>
                <c:pt idx="86">
                  <c:v>12.016254410911857</c:v>
                </c:pt>
                <c:pt idx="87">
                  <c:v>11.861161261160815</c:v>
                </c:pt>
                <c:pt idx="88">
                  <c:v>12.124952212911143</c:v>
                </c:pt>
                <c:pt idx="89">
                  <c:v>11.944613407698462</c:v>
                </c:pt>
                <c:pt idx="90">
                  <c:v>11.906672590221675</c:v>
                </c:pt>
                <c:pt idx="91">
                  <c:v>12.180341717946767</c:v>
                </c:pt>
                <c:pt idx="92">
                  <c:v>12.049560814061234</c:v>
                </c:pt>
                <c:pt idx="93">
                  <c:v>12.07679456685146</c:v>
                </c:pt>
                <c:pt idx="94">
                  <c:v>11.966644370672045</c:v>
                </c:pt>
                <c:pt idx="95">
                  <c:v>12.051792087348352</c:v>
                </c:pt>
                <c:pt idx="96">
                  <c:v>11.916731328888364</c:v>
                </c:pt>
                <c:pt idx="97">
                  <c:v>12.011004244014538</c:v>
                </c:pt>
                <c:pt idx="98">
                  <c:v>12.130448785971518</c:v>
                </c:pt>
                <c:pt idx="99">
                  <c:v>12.007188480699849</c:v>
                </c:pt>
                <c:pt idx="100">
                  <c:v>12.08790599879762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E6-4091-A864-BC1E3090E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37192"/>
        <c:axId val="455544392"/>
      </c:lineChart>
      <c:catAx>
        <c:axId val="455537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44392"/>
        <c:crosses val="autoZero"/>
        <c:auto val="1"/>
        <c:lblAlgn val="ctr"/>
        <c:lblOffset val="100"/>
        <c:noMultiLvlLbl val="0"/>
      </c:catAx>
      <c:valAx>
        <c:axId val="455544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37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a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方波力!$E$12:$E$112</c:f>
              <c:numCache>
                <c:formatCode>0.000_ </c:formatCode>
                <c:ptCount val="101"/>
                <c:pt idx="0">
                  <c:v>5.967538002581918E-2</c:v>
                </c:pt>
                <c:pt idx="1">
                  <c:v>-2.7663639978323218E-2</c:v>
                </c:pt>
                <c:pt idx="2">
                  <c:v>-0.15106615920923422</c:v>
                </c:pt>
                <c:pt idx="3">
                  <c:v>3.7974007220270056E-2</c:v>
                </c:pt>
                <c:pt idx="4">
                  <c:v>8.4709454526864757E-4</c:v>
                </c:pt>
                <c:pt idx="5">
                  <c:v>8.8588039377558471E-3</c:v>
                </c:pt>
                <c:pt idx="6">
                  <c:v>3.5201657158150292E-3</c:v>
                </c:pt>
                <c:pt idx="7">
                  <c:v>-1.4480920601235011E-2</c:v>
                </c:pt>
                <c:pt idx="8">
                  <c:v>-0.16820313274215989</c:v>
                </c:pt>
                <c:pt idx="9">
                  <c:v>-9.3086474421408216E-2</c:v>
                </c:pt>
                <c:pt idx="10">
                  <c:v>8.131137997289295E-2</c:v>
                </c:pt>
                <c:pt idx="11">
                  <c:v>0.12104717963698061</c:v>
                </c:pt>
                <c:pt idx="12">
                  <c:v>0.25250618895180293</c:v>
                </c:pt>
                <c:pt idx="13">
                  <c:v>-2.8438669610607731E-3</c:v>
                </c:pt>
                <c:pt idx="14">
                  <c:v>-6.3815014411249066E-2</c:v>
                </c:pt>
                <c:pt idx="15">
                  <c:v>8.3380248860720999E-2</c:v>
                </c:pt>
                <c:pt idx="16">
                  <c:v>-2.7862965377314346E-2</c:v>
                </c:pt>
                <c:pt idx="17">
                  <c:v>-1.4597650457769382E-2</c:v>
                </c:pt>
                <c:pt idx="18">
                  <c:v>-3.4146142984940439E-2</c:v>
                </c:pt>
                <c:pt idx="19">
                  <c:v>-0.10549413267074874</c:v>
                </c:pt>
                <c:pt idx="20">
                  <c:v>-7.1639589223687392E-2</c:v>
                </c:pt>
                <c:pt idx="21">
                  <c:v>-4.1960891818996274E-3</c:v>
                </c:pt>
                <c:pt idx="22">
                  <c:v>0.15028423090085344</c:v>
                </c:pt>
                <c:pt idx="23">
                  <c:v>6.0803324008851384E-2</c:v>
                </c:pt>
                <c:pt idx="24">
                  <c:v>0.14628150804263818</c:v>
                </c:pt>
                <c:pt idx="25">
                  <c:v>2.0028469888342557</c:v>
                </c:pt>
                <c:pt idx="26">
                  <c:v>1.9380900182798872</c:v>
                </c:pt>
                <c:pt idx="27">
                  <c:v>1.5650817616457875</c:v>
                </c:pt>
                <c:pt idx="28">
                  <c:v>1.5766481465858995</c:v>
                </c:pt>
                <c:pt idx="29">
                  <c:v>1.1578710278451023</c:v>
                </c:pt>
                <c:pt idx="30">
                  <c:v>1.2051569746080077</c:v>
                </c:pt>
                <c:pt idx="31">
                  <c:v>1.1249484046957123</c:v>
                </c:pt>
                <c:pt idx="32">
                  <c:v>0.9177510214801794</c:v>
                </c:pt>
                <c:pt idx="33">
                  <c:v>0.93385122421454558</c:v>
                </c:pt>
                <c:pt idx="34">
                  <c:v>0.62537794485856724</c:v>
                </c:pt>
                <c:pt idx="35">
                  <c:v>0.79901212283345768</c:v>
                </c:pt>
                <c:pt idx="36">
                  <c:v>0.65421016827597667</c:v>
                </c:pt>
                <c:pt idx="37">
                  <c:v>0.62527264721682441</c:v>
                </c:pt>
                <c:pt idx="38">
                  <c:v>0.56193029179398057</c:v>
                </c:pt>
                <c:pt idx="39">
                  <c:v>0.18731976678456697</c:v>
                </c:pt>
                <c:pt idx="40">
                  <c:v>0.32102006785045623</c:v>
                </c:pt>
                <c:pt idx="41">
                  <c:v>0.56964903886256057</c:v>
                </c:pt>
                <c:pt idx="42">
                  <c:v>0.14728161351875757</c:v>
                </c:pt>
                <c:pt idx="43">
                  <c:v>0.14130902773991716</c:v>
                </c:pt>
                <c:pt idx="44">
                  <c:v>0.23808350025670411</c:v>
                </c:pt>
                <c:pt idx="45">
                  <c:v>0.32970099987865709</c:v>
                </c:pt>
                <c:pt idx="46">
                  <c:v>0.27460338798932149</c:v>
                </c:pt>
                <c:pt idx="47">
                  <c:v>0.29267947597212496</c:v>
                </c:pt>
                <c:pt idx="48">
                  <c:v>0.52891622505383329</c:v>
                </c:pt>
                <c:pt idx="49">
                  <c:v>-3.612018662775629E-2</c:v>
                </c:pt>
                <c:pt idx="50">
                  <c:v>-1.9650223546543764</c:v>
                </c:pt>
                <c:pt idx="51">
                  <c:v>-1.6217156439146199</c:v>
                </c:pt>
                <c:pt idx="52">
                  <c:v>-1.5270627936122103</c:v>
                </c:pt>
                <c:pt idx="53">
                  <c:v>-1.4041797369780833</c:v>
                </c:pt>
                <c:pt idx="54">
                  <c:v>-1.1632349288572568</c:v>
                </c:pt>
                <c:pt idx="55">
                  <c:v>-0.92862017197679103</c:v>
                </c:pt>
                <c:pt idx="56">
                  <c:v>-0.78351566511297888</c:v>
                </c:pt>
                <c:pt idx="57">
                  <c:v>-1.0068115541501235</c:v>
                </c:pt>
                <c:pt idx="58">
                  <c:v>-0.71138721389206105</c:v>
                </c:pt>
                <c:pt idx="59">
                  <c:v>-0.62144829727190476</c:v>
                </c:pt>
                <c:pt idx="60">
                  <c:v>-0.68724157803144903</c:v>
                </c:pt>
                <c:pt idx="61">
                  <c:v>-0.70408488162504468</c:v>
                </c:pt>
                <c:pt idx="62">
                  <c:v>-0.54860075435832201</c:v>
                </c:pt>
                <c:pt idx="63">
                  <c:v>-0.36610886655444053</c:v>
                </c:pt>
                <c:pt idx="64">
                  <c:v>-0.39608637909768424</c:v>
                </c:pt>
                <c:pt idx="65">
                  <c:v>-0.44707247770283892</c:v>
                </c:pt>
                <c:pt idx="66">
                  <c:v>-0.23388808340237038</c:v>
                </c:pt>
                <c:pt idx="67">
                  <c:v>-0.47662688931920255</c:v>
                </c:pt>
                <c:pt idx="68">
                  <c:v>-0.36377943527847184</c:v>
                </c:pt>
                <c:pt idx="69">
                  <c:v>-0.34815971491272218</c:v>
                </c:pt>
                <c:pt idx="70">
                  <c:v>-0.33512124384144182</c:v>
                </c:pt>
                <c:pt idx="71">
                  <c:v>-0.22247242038527415</c:v>
                </c:pt>
                <c:pt idx="72">
                  <c:v>-0.23090139394433956</c:v>
                </c:pt>
                <c:pt idx="73">
                  <c:v>-0.27990173329701618</c:v>
                </c:pt>
                <c:pt idx="74">
                  <c:v>-0.21191320495246085</c:v>
                </c:pt>
                <c:pt idx="75">
                  <c:v>1.839857344830069</c:v>
                </c:pt>
                <c:pt idx="76">
                  <c:v>1.6855397639494436</c:v>
                </c:pt>
                <c:pt idx="77">
                  <c:v>1.4291577665628854</c:v>
                </c:pt>
                <c:pt idx="78">
                  <c:v>1.3637360519208943</c:v>
                </c:pt>
                <c:pt idx="79">
                  <c:v>1.146465473393985</c:v>
                </c:pt>
                <c:pt idx="80">
                  <c:v>1.1436877447877702</c:v>
                </c:pt>
                <c:pt idx="81">
                  <c:v>0.88320087321503238</c:v>
                </c:pt>
                <c:pt idx="82">
                  <c:v>0.99315900579094341</c:v>
                </c:pt>
                <c:pt idx="83">
                  <c:v>0.70339687244061588</c:v>
                </c:pt>
                <c:pt idx="84">
                  <c:v>0.46760401897200254</c:v>
                </c:pt>
                <c:pt idx="85">
                  <c:v>0.72634376492951058</c:v>
                </c:pt>
                <c:pt idx="86">
                  <c:v>0.65151428314287596</c:v>
                </c:pt>
                <c:pt idx="87">
                  <c:v>0.43126970507754581</c:v>
                </c:pt>
                <c:pt idx="88">
                  <c:v>0.65193368632011972</c:v>
                </c:pt>
                <c:pt idx="89">
                  <c:v>0.40640151247542633</c:v>
                </c:pt>
                <c:pt idx="90">
                  <c:v>0.32782054375109615</c:v>
                </c:pt>
                <c:pt idx="91">
                  <c:v>0.5687076171010792</c:v>
                </c:pt>
                <c:pt idx="92">
                  <c:v>0.38105595150543814</c:v>
                </c:pt>
                <c:pt idx="93">
                  <c:v>0.3701841091451199</c:v>
                </c:pt>
                <c:pt idx="94">
                  <c:v>0.22301550205119303</c:v>
                </c:pt>
                <c:pt idx="95">
                  <c:v>0.28586166852238049</c:v>
                </c:pt>
                <c:pt idx="96">
                  <c:v>0.12221474321015502</c:v>
                </c:pt>
                <c:pt idx="97">
                  <c:v>0.20426618401531371</c:v>
                </c:pt>
                <c:pt idx="98">
                  <c:v>0.30328410757076263</c:v>
                </c:pt>
                <c:pt idx="99">
                  <c:v>0.14969539154201694</c:v>
                </c:pt>
                <c:pt idx="100">
                  <c:v>0.21544337048558604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22-41D5-8D59-7DF6EF033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513792"/>
        <c:axId val="455519552"/>
      </c:lineChart>
      <c:catAx>
        <c:axId val="4555137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19552"/>
        <c:crosses val="autoZero"/>
        <c:auto val="1"/>
        <c:lblAlgn val="ctr"/>
        <c:lblOffset val="100"/>
        <c:noMultiLvlLbl val="0"/>
      </c:catAx>
      <c:valAx>
        <c:axId val="45551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551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方波力!$F$12:$F$112</c:f>
              <c:numCache>
                <c:formatCode>0.000_ </c:formatCode>
                <c:ptCount val="101"/>
                <c:pt idx="0">
                  <c:v>0</c:v>
                </c:pt>
                <c:pt idx="1">
                  <c:v>-2.766363997832322E-3</c:v>
                </c:pt>
                <c:pt idx="2">
                  <c:v>-1.7872979918755746E-2</c:v>
                </c:pt>
                <c:pt idx="3">
                  <c:v>-1.407557919672874E-2</c:v>
                </c:pt>
                <c:pt idx="4">
                  <c:v>-1.3990869742201876E-2</c:v>
                </c:pt>
                <c:pt idx="5">
                  <c:v>-1.310498934842629E-2</c:v>
                </c:pt>
                <c:pt idx="6">
                  <c:v>-1.2752972776844788E-2</c:v>
                </c:pt>
                <c:pt idx="7">
                  <c:v>-1.4201064836968289E-2</c:v>
                </c:pt>
                <c:pt idx="8">
                  <c:v>-3.1021378111184279E-2</c:v>
                </c:pt>
                <c:pt idx="9">
                  <c:v>-4.03300255533251E-2</c:v>
                </c:pt>
                <c:pt idx="10">
                  <c:v>-3.2198887556035803E-2</c:v>
                </c:pt>
                <c:pt idx="11">
                  <c:v>-2.0094169592337743E-2</c:v>
                </c:pt>
                <c:pt idx="12">
                  <c:v>5.1564493028425501E-3</c:v>
                </c:pt>
                <c:pt idx="13">
                  <c:v>4.8720626067364726E-3</c:v>
                </c:pt>
                <c:pt idx="14">
                  <c:v>-1.5094388343884343E-3</c:v>
                </c:pt>
                <c:pt idx="15">
                  <c:v>6.8285860516836662E-3</c:v>
                </c:pt>
                <c:pt idx="16">
                  <c:v>4.0422895139522316E-3</c:v>
                </c:pt>
                <c:pt idx="17">
                  <c:v>2.5825244681752933E-3</c:v>
                </c:pt>
                <c:pt idx="18">
                  <c:v>-8.3208983031875065E-4</c:v>
                </c:pt>
                <c:pt idx="19">
                  <c:v>-1.1381503097393626E-2</c:v>
                </c:pt>
                <c:pt idx="20">
                  <c:v>-1.8545462019762364E-2</c:v>
                </c:pt>
                <c:pt idx="21">
                  <c:v>-1.8965070937952327E-2</c:v>
                </c:pt>
                <c:pt idx="22">
                  <c:v>-3.9366478478669829E-3</c:v>
                </c:pt>
                <c:pt idx="23">
                  <c:v>2.1436845530181554E-3</c:v>
                </c:pt>
                <c:pt idx="24">
                  <c:v>1.6771835357281974E-2</c:v>
                </c:pt>
                <c:pt idx="25">
                  <c:v>0.21705653424070756</c:v>
                </c:pt>
                <c:pt idx="26">
                  <c:v>0.4108655360686963</c:v>
                </c:pt>
                <c:pt idx="27">
                  <c:v>0.56737371223327504</c:v>
                </c:pt>
                <c:pt idx="28">
                  <c:v>0.72503852689186499</c:v>
                </c:pt>
                <c:pt idx="29">
                  <c:v>0.8408256296763752</c:v>
                </c:pt>
                <c:pt idx="30">
                  <c:v>0.96134132713717602</c:v>
                </c:pt>
                <c:pt idx="31">
                  <c:v>1.0738361676067472</c:v>
                </c:pt>
                <c:pt idx="32">
                  <c:v>1.1656112697547651</c:v>
                </c:pt>
                <c:pt idx="33">
                  <c:v>1.2589963921762197</c:v>
                </c:pt>
                <c:pt idx="34">
                  <c:v>1.3215341866620764</c:v>
                </c:pt>
                <c:pt idx="35">
                  <c:v>1.4014353989454222</c:v>
                </c:pt>
                <c:pt idx="36">
                  <c:v>1.46685641577302</c:v>
                </c:pt>
                <c:pt idx="37">
                  <c:v>1.5293836804947023</c:v>
                </c:pt>
                <c:pt idx="38">
                  <c:v>1.5855767096741005</c:v>
                </c:pt>
                <c:pt idx="39">
                  <c:v>1.6043086863525571</c:v>
                </c:pt>
                <c:pt idx="40">
                  <c:v>1.6364106931376028</c:v>
                </c:pt>
                <c:pt idx="41">
                  <c:v>1.6933755970238589</c:v>
                </c:pt>
                <c:pt idx="42">
                  <c:v>1.7081037583757346</c:v>
                </c:pt>
                <c:pt idx="43">
                  <c:v>1.7222346611497263</c:v>
                </c:pt>
                <c:pt idx="44">
                  <c:v>1.7460430111753968</c:v>
                </c:pt>
                <c:pt idx="45">
                  <c:v>1.7790131111632626</c:v>
                </c:pt>
                <c:pt idx="46">
                  <c:v>1.8064734499621946</c:v>
                </c:pt>
                <c:pt idx="47">
                  <c:v>1.835741397559407</c:v>
                </c:pt>
                <c:pt idx="48">
                  <c:v>1.8886330200647903</c:v>
                </c:pt>
                <c:pt idx="49">
                  <c:v>1.8850210014020146</c:v>
                </c:pt>
                <c:pt idx="50">
                  <c:v>1.688518765936577</c:v>
                </c:pt>
                <c:pt idx="51">
                  <c:v>1.5263472015451149</c:v>
                </c:pt>
                <c:pt idx="52">
                  <c:v>1.3736409221838939</c:v>
                </c:pt>
                <c:pt idx="53">
                  <c:v>1.2332229484860855</c:v>
                </c:pt>
                <c:pt idx="54">
                  <c:v>1.1168994556003597</c:v>
                </c:pt>
                <c:pt idx="55">
                  <c:v>1.0240374384026807</c:v>
                </c:pt>
                <c:pt idx="56">
                  <c:v>0.94568587189138276</c:v>
                </c:pt>
                <c:pt idx="57">
                  <c:v>0.84500471647637043</c:v>
                </c:pt>
                <c:pt idx="58">
                  <c:v>0.77386599508716436</c:v>
                </c:pt>
                <c:pt idx="59">
                  <c:v>0.71172116535997387</c:v>
                </c:pt>
                <c:pt idx="60">
                  <c:v>0.64299700755682898</c:v>
                </c:pt>
                <c:pt idx="61">
                  <c:v>0.57258851939432454</c:v>
                </c:pt>
                <c:pt idx="62">
                  <c:v>0.51772844395849238</c:v>
                </c:pt>
                <c:pt idx="63">
                  <c:v>0.48111755730304834</c:v>
                </c:pt>
                <c:pt idx="64">
                  <c:v>0.44150891939327991</c:v>
                </c:pt>
                <c:pt idx="65">
                  <c:v>0.39680167162299601</c:v>
                </c:pt>
                <c:pt idx="66">
                  <c:v>0.37341286328275897</c:v>
                </c:pt>
                <c:pt idx="67">
                  <c:v>0.32575017435083869</c:v>
                </c:pt>
                <c:pt idx="68">
                  <c:v>0.28937223082299152</c:v>
                </c:pt>
                <c:pt idx="69">
                  <c:v>0.25455625933171933</c:v>
                </c:pt>
                <c:pt idx="70">
                  <c:v>0.22104413494757513</c:v>
                </c:pt>
                <c:pt idx="71">
                  <c:v>0.19879689290904773</c:v>
                </c:pt>
                <c:pt idx="72">
                  <c:v>0.17570675351461376</c:v>
                </c:pt>
                <c:pt idx="73">
                  <c:v>0.14771658018491213</c:v>
                </c:pt>
                <c:pt idx="74">
                  <c:v>0.12652525968966605</c:v>
                </c:pt>
                <c:pt idx="75">
                  <c:v>0.31051099417267297</c:v>
                </c:pt>
                <c:pt idx="76">
                  <c:v>0.47906497056761732</c:v>
                </c:pt>
                <c:pt idx="77">
                  <c:v>0.62198074722390584</c:v>
                </c:pt>
                <c:pt idx="78">
                  <c:v>0.75835435241599525</c:v>
                </c:pt>
                <c:pt idx="79">
                  <c:v>0.87300089975539374</c:v>
                </c:pt>
                <c:pt idx="80">
                  <c:v>0.98736967423417077</c:v>
                </c:pt>
                <c:pt idx="81">
                  <c:v>1.075689761555674</c:v>
                </c:pt>
                <c:pt idx="82">
                  <c:v>1.1750056621347684</c:v>
                </c:pt>
                <c:pt idx="83">
                  <c:v>1.24534534937883</c:v>
                </c:pt>
                <c:pt idx="84">
                  <c:v>1.2921057512760303</c:v>
                </c:pt>
                <c:pt idx="85">
                  <c:v>1.3647401277689815</c:v>
                </c:pt>
                <c:pt idx="86">
                  <c:v>1.429891556083269</c:v>
                </c:pt>
                <c:pt idx="87">
                  <c:v>1.4730185265910236</c:v>
                </c:pt>
                <c:pt idx="88">
                  <c:v>1.5382118952230357</c:v>
                </c:pt>
                <c:pt idx="89">
                  <c:v>1.5788520464705784</c:v>
                </c:pt>
                <c:pt idx="90">
                  <c:v>1.611634100845688</c:v>
                </c:pt>
                <c:pt idx="91">
                  <c:v>1.6685048625557959</c:v>
                </c:pt>
                <c:pt idx="92">
                  <c:v>1.7066104577063397</c:v>
                </c:pt>
                <c:pt idx="93">
                  <c:v>1.7436288686208516</c:v>
                </c:pt>
                <c:pt idx="94">
                  <c:v>1.765930418825971</c:v>
                </c:pt>
                <c:pt idx="95">
                  <c:v>1.794516585678209</c:v>
                </c:pt>
                <c:pt idx="96">
                  <c:v>1.8067380599992244</c:v>
                </c:pt>
                <c:pt idx="97">
                  <c:v>1.8271646784007558</c:v>
                </c:pt>
                <c:pt idx="98">
                  <c:v>1.8574930891578321</c:v>
                </c:pt>
                <c:pt idx="99">
                  <c:v>1.8724626283120338</c:v>
                </c:pt>
                <c:pt idx="100">
                  <c:v>1.8940069653605924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A0-4E3D-A16F-C4301881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方波力!$G$12:$G$112</c:f>
              <c:numCache>
                <c:formatCode>0.000_ </c:formatCode>
                <c:ptCount val="101"/>
                <c:pt idx="0">
                  <c:v>0</c:v>
                </c:pt>
                <c:pt idx="1">
                  <c:v>-2.7663639978323221E-4</c:v>
                </c:pt>
                <c:pt idx="2">
                  <c:v>-2.0639343916588069E-3</c:v>
                </c:pt>
                <c:pt idx="3">
                  <c:v>-3.471492311331681E-3</c:v>
                </c:pt>
                <c:pt idx="4">
                  <c:v>-4.8705792855518685E-3</c:v>
                </c:pt>
                <c:pt idx="5">
                  <c:v>-6.1810782203944974E-3</c:v>
                </c:pt>
                <c:pt idx="6">
                  <c:v>-7.456375498078976E-3</c:v>
                </c:pt>
                <c:pt idx="7">
                  <c:v>-8.8764819817758051E-3</c:v>
                </c:pt>
                <c:pt idx="8">
                  <c:v>-1.1978619792894232E-2</c:v>
                </c:pt>
                <c:pt idx="9">
                  <c:v>-1.6011622348226742E-2</c:v>
                </c:pt>
                <c:pt idx="10">
                  <c:v>-1.9231511103830323E-2</c:v>
                </c:pt>
                <c:pt idx="11">
                  <c:v>-2.1240928063064098E-2</c:v>
                </c:pt>
                <c:pt idx="12">
                  <c:v>-2.0725283132779843E-2</c:v>
                </c:pt>
                <c:pt idx="13">
                  <c:v>-2.0238076872106197E-2</c:v>
                </c:pt>
                <c:pt idx="14">
                  <c:v>-2.038902075554504E-2</c:v>
                </c:pt>
                <c:pt idx="15">
                  <c:v>-1.9706162150376672E-2</c:v>
                </c:pt>
                <c:pt idx="16">
                  <c:v>-1.930193319898145E-2</c:v>
                </c:pt>
                <c:pt idx="17">
                  <c:v>-1.9043680752163922E-2</c:v>
                </c:pt>
                <c:pt idx="18">
                  <c:v>-1.9126889735195798E-2</c:v>
                </c:pt>
                <c:pt idx="19">
                  <c:v>-2.0265040044935161E-2</c:v>
                </c:pt>
                <c:pt idx="20">
                  <c:v>-2.2119586246911398E-2</c:v>
                </c:pt>
                <c:pt idx="21">
                  <c:v>-2.4016093340706632E-2</c:v>
                </c:pt>
                <c:pt idx="22">
                  <c:v>-2.4409758125493331E-2</c:v>
                </c:pt>
                <c:pt idx="23">
                  <c:v>-2.4195389670191515E-2</c:v>
                </c:pt>
                <c:pt idx="24">
                  <c:v>-2.2518206134463318E-2</c:v>
                </c:pt>
                <c:pt idx="25">
                  <c:v>-8.1255271039256186E-4</c:v>
                </c:pt>
                <c:pt idx="26">
                  <c:v>4.0274000896477077E-2</c:v>
                </c:pt>
                <c:pt idx="27">
                  <c:v>9.7011372119804581E-2</c:v>
                </c:pt>
                <c:pt idx="28">
                  <c:v>0.16951522480899109</c:v>
                </c:pt>
                <c:pt idx="29">
                  <c:v>0.25359778777662861</c:v>
                </c:pt>
                <c:pt idx="30">
                  <c:v>0.34973192049034624</c:v>
                </c:pt>
                <c:pt idx="31">
                  <c:v>0.45711553725102094</c:v>
                </c:pt>
                <c:pt idx="32">
                  <c:v>0.57367666422649743</c:v>
                </c:pt>
                <c:pt idx="33">
                  <c:v>0.69957630344411936</c:v>
                </c:pt>
                <c:pt idx="34">
                  <c:v>0.83172972211032703</c:v>
                </c:pt>
                <c:pt idx="35">
                  <c:v>0.97187326200486923</c:v>
                </c:pt>
                <c:pt idx="36">
                  <c:v>1.1185589035821712</c:v>
                </c:pt>
                <c:pt idx="37">
                  <c:v>1.2714972716316415</c:v>
                </c:pt>
                <c:pt idx="38">
                  <c:v>1.4300549425990516</c:v>
                </c:pt>
                <c:pt idx="39">
                  <c:v>1.5904858112343074</c:v>
                </c:pt>
                <c:pt idx="40">
                  <c:v>1.7541268805480676</c:v>
                </c:pt>
                <c:pt idx="41">
                  <c:v>1.9234644402504535</c:v>
                </c:pt>
                <c:pt idx="42">
                  <c:v>2.0942748160880269</c:v>
                </c:pt>
                <c:pt idx="43">
                  <c:v>2.2664982822029995</c:v>
                </c:pt>
                <c:pt idx="44">
                  <c:v>2.4411025833205393</c:v>
                </c:pt>
                <c:pt idx="45">
                  <c:v>2.6190038944368657</c:v>
                </c:pt>
                <c:pt idx="46">
                  <c:v>2.7996512394330852</c:v>
                </c:pt>
                <c:pt idx="47">
                  <c:v>2.983225379189026</c:v>
                </c:pt>
                <c:pt idx="48">
                  <c:v>3.1720886811955049</c:v>
                </c:pt>
                <c:pt idx="49">
                  <c:v>3.3605907813357065</c:v>
                </c:pt>
                <c:pt idx="50">
                  <c:v>3.5294426579293643</c:v>
                </c:pt>
                <c:pt idx="51">
                  <c:v>3.6820773780838758</c:v>
                </c:pt>
                <c:pt idx="52">
                  <c:v>3.819441470302265</c:v>
                </c:pt>
                <c:pt idx="53">
                  <c:v>3.9427637651508736</c:v>
                </c:pt>
                <c:pt idx="54">
                  <c:v>4.0544537107109093</c:v>
                </c:pt>
                <c:pt idx="55">
                  <c:v>4.1568574545511776</c:v>
                </c:pt>
                <c:pt idx="56">
                  <c:v>4.2514260417403156</c:v>
                </c:pt>
                <c:pt idx="57">
                  <c:v>4.3359265133879523</c:v>
                </c:pt>
                <c:pt idx="58">
                  <c:v>4.4133131128966685</c:v>
                </c:pt>
                <c:pt idx="59">
                  <c:v>4.484485229432666</c:v>
                </c:pt>
                <c:pt idx="60">
                  <c:v>4.548784930188349</c:v>
                </c:pt>
                <c:pt idx="61">
                  <c:v>4.6060437821277818</c:v>
                </c:pt>
                <c:pt idx="62">
                  <c:v>4.6578166265236307</c:v>
                </c:pt>
                <c:pt idx="63">
                  <c:v>4.7059283822539353</c:v>
                </c:pt>
                <c:pt idx="64">
                  <c:v>4.7500792741932631</c:v>
                </c:pt>
                <c:pt idx="65">
                  <c:v>4.7897594413555629</c:v>
                </c:pt>
                <c:pt idx="66">
                  <c:v>4.8271007276838391</c:v>
                </c:pt>
                <c:pt idx="67">
                  <c:v>4.8596757451189232</c:v>
                </c:pt>
                <c:pt idx="68">
                  <c:v>4.8886129682012225</c:v>
                </c:pt>
                <c:pt idx="69">
                  <c:v>4.9140685941343945</c:v>
                </c:pt>
                <c:pt idx="70">
                  <c:v>4.9361730076291517</c:v>
                </c:pt>
                <c:pt idx="71">
                  <c:v>4.9560526969200565</c:v>
                </c:pt>
                <c:pt idx="72">
                  <c:v>4.9736233722715175</c:v>
                </c:pt>
                <c:pt idx="73">
                  <c:v>4.9883950302900084</c:v>
                </c:pt>
                <c:pt idx="74">
                  <c:v>5.0010475562589747</c:v>
                </c:pt>
                <c:pt idx="75">
                  <c:v>5.0320986556762417</c:v>
                </c:pt>
                <c:pt idx="76">
                  <c:v>5.080005152733003</c:v>
                </c:pt>
                <c:pt idx="77">
                  <c:v>5.1422032274553935</c:v>
                </c:pt>
                <c:pt idx="78">
                  <c:v>5.2180386626969932</c:v>
                </c:pt>
                <c:pt idx="79">
                  <c:v>5.3053387526725322</c:v>
                </c:pt>
                <c:pt idx="80">
                  <c:v>5.4040757200959497</c:v>
                </c:pt>
                <c:pt idx="81">
                  <c:v>5.5116446962515173</c:v>
                </c:pt>
                <c:pt idx="82">
                  <c:v>5.629145262464994</c:v>
                </c:pt>
                <c:pt idx="83">
                  <c:v>5.753679797402877</c:v>
                </c:pt>
                <c:pt idx="84">
                  <c:v>5.88289037253048</c:v>
                </c:pt>
                <c:pt idx="85">
                  <c:v>6.0193643853073784</c:v>
                </c:pt>
                <c:pt idx="86">
                  <c:v>6.1623535409157055</c:v>
                </c:pt>
                <c:pt idx="87">
                  <c:v>6.3096553935748076</c:v>
                </c:pt>
                <c:pt idx="88">
                  <c:v>6.463476583097111</c:v>
                </c:pt>
                <c:pt idx="89">
                  <c:v>6.6213617877441688</c:v>
                </c:pt>
                <c:pt idx="90">
                  <c:v>6.782525197828738</c:v>
                </c:pt>
                <c:pt idx="91">
                  <c:v>6.9493756840843179</c:v>
                </c:pt>
                <c:pt idx="92">
                  <c:v>7.1200367298549523</c:v>
                </c:pt>
                <c:pt idx="93">
                  <c:v>7.2943996167170377</c:v>
                </c:pt>
                <c:pt idx="94">
                  <c:v>7.4709926585996351</c:v>
                </c:pt>
                <c:pt idx="95">
                  <c:v>7.6504443171674561</c:v>
                </c:pt>
                <c:pt idx="96">
                  <c:v>7.8311181231673785</c:v>
                </c:pt>
                <c:pt idx="97">
                  <c:v>8.0138345910074538</c:v>
                </c:pt>
                <c:pt idx="98">
                  <c:v>8.1995838999232369</c:v>
                </c:pt>
                <c:pt idx="99">
                  <c:v>8.3868301627544408</c:v>
                </c:pt>
                <c:pt idx="100">
                  <c:v>8.5762308592905008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81-485F-A7D7-548C7B8E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x'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方波力!$H$12:$H$112</c:f>
              <c:numCache>
                <c:formatCode>0.000_ </c:formatCode>
                <c:ptCount val="101"/>
                <c:pt idx="0">
                  <c:v>1.3510465708879423E-2</c:v>
                </c:pt>
                <c:pt idx="1">
                  <c:v>-1.1751106815656671E-2</c:v>
                </c:pt>
                <c:pt idx="2">
                  <c:v>-1.0336618180763181E-2</c:v>
                </c:pt>
                <c:pt idx="3">
                  <c:v>-5.5469612257892011E-3</c:v>
                </c:pt>
                <c:pt idx="4">
                  <c:v>4.8523371641174418E-3</c:v>
                </c:pt>
                <c:pt idx="5">
                  <c:v>3.4778832138170328E-4</c:v>
                </c:pt>
                <c:pt idx="6">
                  <c:v>-1.2322649326722633E-2</c:v>
                </c:pt>
                <c:pt idx="7">
                  <c:v>-8.0350701794001545E-3</c:v>
                </c:pt>
                <c:pt idx="8">
                  <c:v>2.3308115506878203E-3</c:v>
                </c:pt>
                <c:pt idx="9">
                  <c:v>-1.5525082592607067E-2</c:v>
                </c:pt>
                <c:pt idx="10">
                  <c:v>-5.205051760896225E-3</c:v>
                </c:pt>
                <c:pt idx="11">
                  <c:v>-2.0121432106690321E-2</c:v>
                </c:pt>
                <c:pt idx="12">
                  <c:v>-1.1958176159738907E-2</c:v>
                </c:pt>
                <c:pt idx="13">
                  <c:v>-2.5850669562960862E-2</c:v>
                </c:pt>
                <c:pt idx="14">
                  <c:v>-2.0554893422709289E-2</c:v>
                </c:pt>
                <c:pt idx="15">
                  <c:v>-1.3782842579591108E-2</c:v>
                </c:pt>
                <c:pt idx="16">
                  <c:v>-2.0042182322803942E-2</c:v>
                </c:pt>
                <c:pt idx="17">
                  <c:v>-2.5819050398855049E-2</c:v>
                </c:pt>
                <c:pt idx="18">
                  <c:v>-2.7749563100210584E-2</c:v>
                </c:pt>
                <c:pt idx="19">
                  <c:v>-2.1300198770050432E-2</c:v>
                </c:pt>
                <c:pt idx="20">
                  <c:v>-1.127340535459935E-2</c:v>
                </c:pt>
                <c:pt idx="21">
                  <c:v>-2.4748964921289699E-2</c:v>
                </c:pt>
                <c:pt idx="22">
                  <c:v>-2.8009969915506739E-2</c:v>
                </c:pt>
                <c:pt idx="23">
                  <c:v>-2.2940074128517864E-2</c:v>
                </c:pt>
                <c:pt idx="24">
                  <c:v>-2.148472966484653E-2</c:v>
                </c:pt>
                <c:pt idx="25">
                  <c:v>3.1129270029714136E-3</c:v>
                </c:pt>
                <c:pt idx="26">
                  <c:v>4.3014316234495351E-2</c:v>
                </c:pt>
                <c:pt idx="27">
                  <c:v>9.3026617501712303E-2</c:v>
                </c:pt>
                <c:pt idx="28">
                  <c:v>0.16718922407250456</c:v>
                </c:pt>
                <c:pt idx="29">
                  <c:v>0.25513367125184705</c:v>
                </c:pt>
                <c:pt idx="30">
                  <c:v>0.35533472203025468</c:v>
                </c:pt>
                <c:pt idx="31">
                  <c:v>0.45896129791162649</c:v>
                </c:pt>
                <c:pt idx="32">
                  <c:v>0.56159799202110428</c:v>
                </c:pt>
                <c:pt idx="33">
                  <c:v>0.69636934439806653</c:v>
                </c:pt>
                <c:pt idx="34">
                  <c:v>0.84546436648125811</c:v>
                </c:pt>
                <c:pt idx="35">
                  <c:v>0.97351284688519479</c:v>
                </c:pt>
                <c:pt idx="36">
                  <c:v>1.1171125209695785</c:v>
                </c:pt>
                <c:pt idx="37">
                  <c:v>1.2556147504344255</c:v>
                </c:pt>
                <c:pt idx="38">
                  <c:v>1.4171172514172756</c:v>
                </c:pt>
                <c:pt idx="39">
                  <c:v>1.5917333688165658</c:v>
                </c:pt>
                <c:pt idx="40">
                  <c:v>1.7433588371787963</c:v>
                </c:pt>
                <c:pt idx="41">
                  <c:v>1.9277504977052295</c:v>
                </c:pt>
                <c:pt idx="42">
                  <c:v>2.0931517852109631</c:v>
                </c:pt>
                <c:pt idx="43">
                  <c:v>2.2639555523131691</c:v>
                </c:pt>
                <c:pt idx="44">
                  <c:v>2.4545100029506921</c:v>
                </c:pt>
                <c:pt idx="45">
                  <c:v>2.6166018138762133</c:v>
                </c:pt>
                <c:pt idx="46">
                  <c:v>2.7972707942393442</c:v>
                </c:pt>
                <c:pt idx="47">
                  <c:v>2.9995177838445022</c:v>
                </c:pt>
                <c:pt idx="48">
                  <c:v>3.1790890647917949</c:v>
                </c:pt>
                <c:pt idx="49">
                  <c:v>3.3559061005280024</c:v>
                </c:pt>
                <c:pt idx="50">
                  <c:v>3.5331848594363593</c:v>
                </c:pt>
                <c:pt idx="51">
                  <c:v>3.6902722985195329</c:v>
                </c:pt>
                <c:pt idx="52">
                  <c:v>3.8091756381812729</c:v>
                </c:pt>
                <c:pt idx="53">
                  <c:v>3.9486132640500009</c:v>
                </c:pt>
                <c:pt idx="54">
                  <c:v>4.0515121194976924</c:v>
                </c:pt>
                <c:pt idx="55">
                  <c:v>4.1370596461650679</c:v>
                </c:pt>
                <c:pt idx="56">
                  <c:v>4.2246960197741341</c:v>
                </c:pt>
                <c:pt idx="57">
                  <c:v>4.3315157499894834</c:v>
                </c:pt>
                <c:pt idx="58">
                  <c:v>4.417369681789161</c:v>
                </c:pt>
                <c:pt idx="59">
                  <c:v>4.4684827054245959</c:v>
                </c:pt>
                <c:pt idx="60">
                  <c:v>4.5522887689641873</c:v>
                </c:pt>
                <c:pt idx="61">
                  <c:v>4.6262989381136101</c:v>
                </c:pt>
                <c:pt idx="62">
                  <c:v>4.6556222306507182</c:v>
                </c:pt>
                <c:pt idx="63">
                  <c:v>4.7009571263519216</c:v>
                </c:pt>
                <c:pt idx="64">
                  <c:v>4.7440660677437707</c:v>
                </c:pt>
                <c:pt idx="65">
                  <c:v>4.792252585352327</c:v>
                </c:pt>
                <c:pt idx="66">
                  <c:v>4.8159868980342964</c:v>
                </c:pt>
                <c:pt idx="67">
                  <c:v>4.8706621284654066</c:v>
                </c:pt>
                <c:pt idx="68">
                  <c:v>4.8712261701443458</c:v>
                </c:pt>
                <c:pt idx="69">
                  <c:v>4.9271830411671953</c:v>
                </c:pt>
                <c:pt idx="70">
                  <c:v>4.9353308136352521</c:v>
                </c:pt>
                <c:pt idx="71">
                  <c:v>4.9567596283662052</c:v>
                </c:pt>
                <c:pt idx="72">
                  <c:v>4.9611738007806689</c:v>
                </c:pt>
                <c:pt idx="73">
                  <c:v>4.982957273634586</c:v>
                </c:pt>
                <c:pt idx="74">
                  <c:v>4.9868919174902038</c:v>
                </c:pt>
                <c:pt idx="75">
                  <c:v>5.042351371351999</c:v>
                </c:pt>
                <c:pt idx="76">
                  <c:v>5.0652330849889458</c:v>
                </c:pt>
                <c:pt idx="77">
                  <c:v>5.1481835025522704</c:v>
                </c:pt>
                <c:pt idx="78">
                  <c:v>5.220062555978628</c:v>
                </c:pt>
                <c:pt idx="79">
                  <c:v>5.2812962105609387</c:v>
                </c:pt>
                <c:pt idx="80">
                  <c:v>5.4014488381696681</c:v>
                </c:pt>
                <c:pt idx="81">
                  <c:v>5.5220682419419171</c:v>
                </c:pt>
                <c:pt idx="82">
                  <c:v>5.6513239215231197</c:v>
                </c:pt>
                <c:pt idx="83">
                  <c:v>5.745995432949246</c:v>
                </c:pt>
                <c:pt idx="84">
                  <c:v>5.8698911003950007</c:v>
                </c:pt>
                <c:pt idx="85">
                  <c:v>6.0130077040456067</c:v>
                </c:pt>
                <c:pt idx="86">
                  <c:v>6.1566716327990498</c:v>
                </c:pt>
                <c:pt idx="87">
                  <c:v>6.3036456703762038</c:v>
                </c:pt>
                <c:pt idx="88">
                  <c:v>6.4476165529268554</c:v>
                </c:pt>
                <c:pt idx="89">
                  <c:v>6.6339632420427401</c:v>
                </c:pt>
                <c:pt idx="90">
                  <c:v>6.7872186536831798</c:v>
                </c:pt>
                <c:pt idx="91">
                  <c:v>6.9461608261728438</c:v>
                </c:pt>
                <c:pt idx="92">
                  <c:v>7.1136943333772704</c:v>
                </c:pt>
                <c:pt idx="93">
                  <c:v>7.286355742612745</c:v>
                </c:pt>
                <c:pt idx="94">
                  <c:v>7.4935561033849156</c:v>
                </c:pt>
                <c:pt idx="95">
                  <c:v>7.6579847121688189</c:v>
                </c:pt>
                <c:pt idx="96">
                  <c:v>7.8401546142842546</c:v>
                </c:pt>
                <c:pt idx="97">
                  <c:v>8.0155887392097291</c:v>
                </c:pt>
                <c:pt idx="98">
                  <c:v>8.1941816444870668</c:v>
                </c:pt>
                <c:pt idx="99">
                  <c:v>8.3823829112002795</c:v>
                </c:pt>
                <c:pt idx="100">
                  <c:v>8.5601670511447718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AC-46CA-A49A-26A31090B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x~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方波力!$I$12:$I$112</c:f>
              <c:numCache>
                <c:formatCode>0.000_ </c:formatCode>
                <c:ptCount val="101"/>
                <c:pt idx="0">
                  <c:v>1.3510465708879423E-2</c:v>
                </c:pt>
                <c:pt idx="1">
                  <c:v>1.3510465708879423E-2</c:v>
                </c:pt>
                <c:pt idx="2">
                  <c:v>1.0984308456425814E-2</c:v>
                </c:pt>
                <c:pt idx="3">
                  <c:v>8.8522157927069141E-3</c:v>
                </c:pt>
                <c:pt idx="4">
                  <c:v>7.412298090857302E-3</c:v>
                </c:pt>
                <c:pt idx="5">
                  <c:v>7.1563019981833158E-3</c:v>
                </c:pt>
                <c:pt idx="6">
                  <c:v>6.4754506305031547E-3</c:v>
                </c:pt>
                <c:pt idx="7">
                  <c:v>4.595640634780576E-3</c:v>
                </c:pt>
                <c:pt idx="8">
                  <c:v>3.332569553362503E-3</c:v>
                </c:pt>
                <c:pt idx="9">
                  <c:v>3.2323937530950348E-3</c:v>
                </c:pt>
                <c:pt idx="10">
                  <c:v>1.3566461185248245E-3</c:v>
                </c:pt>
                <c:pt idx="11">
                  <c:v>7.0047633058271941E-4</c:v>
                </c:pt>
                <c:pt idx="12">
                  <c:v>-1.3817145131445846E-3</c:v>
                </c:pt>
                <c:pt idx="13">
                  <c:v>-2.4393606778040167E-3</c:v>
                </c:pt>
                <c:pt idx="14">
                  <c:v>-4.7804915663197008E-3</c:v>
                </c:pt>
                <c:pt idx="15">
                  <c:v>-6.3579317519586592E-3</c:v>
                </c:pt>
                <c:pt idx="16">
                  <c:v>-7.1004228347219039E-3</c:v>
                </c:pt>
                <c:pt idx="17">
                  <c:v>-8.3945987835301085E-3</c:v>
                </c:pt>
                <c:pt idx="18">
                  <c:v>-1.0137043945062603E-2</c:v>
                </c:pt>
                <c:pt idx="19">
                  <c:v>-1.1898295860577401E-2</c:v>
                </c:pt>
                <c:pt idx="20">
                  <c:v>-1.2838486151524704E-2</c:v>
                </c:pt>
                <c:pt idx="21">
                  <c:v>-1.2681978071832169E-2</c:v>
                </c:pt>
                <c:pt idx="22">
                  <c:v>-1.3888676756777922E-2</c:v>
                </c:pt>
                <c:pt idx="23">
                  <c:v>-1.5300806072650804E-2</c:v>
                </c:pt>
                <c:pt idx="24">
                  <c:v>-1.6064732878237509E-2</c:v>
                </c:pt>
                <c:pt idx="25">
                  <c:v>-1.6606732556898412E-2</c:v>
                </c:pt>
                <c:pt idx="26">
                  <c:v>-1.4634766600911429E-2</c:v>
                </c:pt>
                <c:pt idx="27">
                  <c:v>1.1130141682629251E-2</c:v>
                </c:pt>
                <c:pt idx="28">
                  <c:v>5.7319789264537555E-2</c:v>
                </c:pt>
                <c:pt idx="29">
                  <c:v>0.12250673274533426</c:v>
                </c:pt>
                <c:pt idx="30">
                  <c:v>0.20454942659598555</c:v>
                </c:pt>
                <c:pt idx="31">
                  <c:v>0.30152995613941247</c:v>
                </c:pt>
                <c:pt idx="32">
                  <c:v>0.41098489031663388</c:v>
                </c:pt>
                <c:pt idx="33">
                  <c:v>0.53038682048708097</c:v>
                </c:pt>
                <c:pt idx="34">
                  <c:v>0.66089163087817959</c:v>
                </c:pt>
                <c:pt idx="35">
                  <c:v>0.80186480663848747</c:v>
                </c:pt>
                <c:pt idx="36">
                  <c:v>0.94929392264315826</c:v>
                </c:pt>
                <c:pt idx="37">
                  <c:v>1.1033136632578002</c:v>
                </c:pt>
                <c:pt idx="38">
                  <c:v>1.2620578646792628</c:v>
                </c:pt>
                <c:pt idx="39">
                  <c:v>1.4267264867864842</c:v>
                </c:pt>
                <c:pt idx="40">
                  <c:v>1.5974735900795705</c:v>
                </c:pt>
                <c:pt idx="41">
                  <c:v>1.7708838883705633</c:v>
                </c:pt>
                <c:pt idx="42">
                  <c:v>1.9495101455269932</c:v>
                </c:pt>
                <c:pt idx="43">
                  <c:v>2.1305199460960571</c:v>
                </c:pt>
                <c:pt idx="44">
                  <c:v>2.3138445796583684</c:v>
                </c:pt>
                <c:pt idx="45">
                  <c:v>2.500894087634141</c:v>
                </c:pt>
                <c:pt idx="46">
                  <c:v>2.6881495293402344</c:v>
                </c:pt>
                <c:pt idx="47">
                  <c:v>2.8771778580038427</c:v>
                </c:pt>
                <c:pt idx="48">
                  <c:v>3.0697164325442365</c:v>
                </c:pt>
                <c:pt idx="49">
                  <c:v>3.2629278195296876</c:v>
                </c:pt>
                <c:pt idx="50">
                  <c:v>3.4562723590141444</c:v>
                </c:pt>
                <c:pt idx="51">
                  <c:v>3.6496056493025288</c:v>
                </c:pt>
                <c:pt idx="52">
                  <c:v>3.8207501504457761</c:v>
                </c:pt>
                <c:pt idx="53">
                  <c:v>3.9699627518187177</c:v>
                </c:pt>
                <c:pt idx="54">
                  <c:v>4.1031608503812986</c:v>
                </c:pt>
                <c:pt idx="55">
                  <c:v>4.2197957198984453</c:v>
                </c:pt>
                <c:pt idx="56">
                  <c:v>4.3211418808700639</c:v>
                </c:pt>
                <c:pt idx="57">
                  <c:v>4.4101550862709322</c:v>
                </c:pt>
                <c:pt idx="58">
                  <c:v>4.4910831650022027</c:v>
                </c:pt>
                <c:pt idx="59">
                  <c:v>4.5636246278043719</c:v>
                </c:pt>
                <c:pt idx="60">
                  <c:v>4.6260319655775204</c:v>
                </c:pt>
                <c:pt idx="61">
                  <c:v>4.6833870229262002</c:v>
                </c:pt>
                <c:pt idx="62">
                  <c:v>4.7359346537539535</c:v>
                </c:pt>
                <c:pt idx="63">
                  <c:v>4.7803342068217409</c:v>
                </c:pt>
                <c:pt idx="64">
                  <c:v>4.8195842146150589</c:v>
                </c:pt>
                <c:pt idx="65">
                  <c:v>4.8545013441842002</c:v>
                </c:pt>
                <c:pt idx="66">
                  <c:v>4.8864985181316554</c:v>
                </c:pt>
                <c:pt idx="67">
                  <c:v>4.9138472009694985</c:v>
                </c:pt>
                <c:pt idx="68">
                  <c:v>4.9404885540819103</c:v>
                </c:pt>
                <c:pt idx="69">
                  <c:v>4.9614261900146923</c:v>
                </c:pt>
                <c:pt idx="70">
                  <c:v>4.9830793620238278</c:v>
                </c:pt>
                <c:pt idx="71">
                  <c:v>5.0008742453894666</c:v>
                </c:pt>
                <c:pt idx="72">
                  <c:v>5.0167755480711875</c:v>
                </c:pt>
                <c:pt idx="73">
                  <c:v>5.029496861287778</c:v>
                </c:pt>
                <c:pt idx="74">
                  <c:v>5.0412962416735363</c:v>
                </c:pt>
                <c:pt idx="75">
                  <c:v>5.0506638144911733</c:v>
                </c:pt>
                <c:pt idx="76">
                  <c:v>5.0631597748896287</c:v>
                </c:pt>
                <c:pt idx="77">
                  <c:v>5.0953615901406959</c:v>
                </c:pt>
                <c:pt idx="78">
                  <c:v>5.1494388171988756</c:v>
                </c:pt>
                <c:pt idx="79">
                  <c:v>5.2204167233121712</c:v>
                </c:pt>
                <c:pt idx="80">
                  <c:v>5.3040286510488359</c:v>
                </c:pt>
                <c:pt idx="81">
                  <c:v>5.4035422508715287</c:v>
                </c:pt>
                <c:pt idx="82">
                  <c:v>5.5161892729781155</c:v>
                </c:pt>
                <c:pt idx="83">
                  <c:v>5.6404177185322091</c:v>
                </c:pt>
                <c:pt idx="84">
                  <c:v>5.7706189726035468</c:v>
                </c:pt>
                <c:pt idx="85">
                  <c:v>5.9082253197493628</c:v>
                </c:pt>
                <c:pt idx="86">
                  <c:v>6.0536147791089912</c:v>
                </c:pt>
                <c:pt idx="87">
                  <c:v>6.2053405633150005</c:v>
                </c:pt>
                <c:pt idx="88">
                  <c:v>6.362449162974424</c:v>
                </c:pt>
                <c:pt idx="89">
                  <c:v>6.5235161820276399</c:v>
                </c:pt>
                <c:pt idx="90">
                  <c:v>6.6918561400813257</c:v>
                </c:pt>
                <c:pt idx="91">
                  <c:v>6.8629581182884687</c:v>
                </c:pt>
                <c:pt idx="92">
                  <c:v>7.036687543239168</c:v>
                </c:pt>
                <c:pt idx="93">
                  <c:v>7.2132564609990144</c:v>
                </c:pt>
                <c:pt idx="94">
                  <c:v>7.3925478040318193</c:v>
                </c:pt>
                <c:pt idx="95">
                  <c:v>7.5774319073514178</c:v>
                </c:pt>
                <c:pt idx="96">
                  <c:v>7.7627921338790182</c:v>
                </c:pt>
                <c:pt idx="97">
                  <c:v>7.9501028333608161</c:v>
                </c:pt>
                <c:pt idx="98">
                  <c:v>8.1382684302428547</c:v>
                </c:pt>
                <c:pt idx="99">
                  <c:v>8.3273150573347081</c:v>
                </c:pt>
                <c:pt idx="100">
                  <c:v>8.5179316178219544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D1-418A-BCBA-7EB40DD3B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v~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方波力!$J$12:$J$112</c:f>
              <c:numCache>
                <c:formatCode>0.000_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0.2</c:v>
                </c:pt>
                <c:pt idx="27">
                  <c:v>0.38</c:v>
                </c:pt>
                <c:pt idx="28">
                  <c:v>0.54200000000000004</c:v>
                </c:pt>
                <c:pt idx="29">
                  <c:v>0.68780000000000008</c:v>
                </c:pt>
                <c:pt idx="30">
                  <c:v>0.81902000000000008</c:v>
                </c:pt>
                <c:pt idx="31">
                  <c:v>0.93711800000000012</c:v>
                </c:pt>
                <c:pt idx="32">
                  <c:v>1.0434062000000002</c:v>
                </c:pt>
                <c:pt idx="33">
                  <c:v>1.1390655800000002</c:v>
                </c:pt>
                <c:pt idx="34">
                  <c:v>1.2251590220000002</c:v>
                </c:pt>
                <c:pt idx="35">
                  <c:v>1.3026431198000001</c:v>
                </c:pt>
                <c:pt idx="36">
                  <c:v>1.3723788078200001</c:v>
                </c:pt>
                <c:pt idx="37">
                  <c:v>1.435140927038</c:v>
                </c:pt>
                <c:pt idx="38">
                  <c:v>1.4916268343342001</c:v>
                </c:pt>
                <c:pt idx="39">
                  <c:v>1.5424641509007802</c:v>
                </c:pt>
                <c:pt idx="40">
                  <c:v>1.5882177358107021</c:v>
                </c:pt>
                <c:pt idx="41">
                  <c:v>1.6293959622296319</c:v>
                </c:pt>
                <c:pt idx="42">
                  <c:v>1.6664563660066687</c:v>
                </c:pt>
                <c:pt idx="43">
                  <c:v>1.6998107294060019</c:v>
                </c:pt>
                <c:pt idx="44">
                  <c:v>1.7298296564654017</c:v>
                </c:pt>
                <c:pt idx="45">
                  <c:v>1.7568466908188616</c:v>
                </c:pt>
                <c:pt idx="46">
                  <c:v>1.7811620217369755</c:v>
                </c:pt>
                <c:pt idx="47">
                  <c:v>1.8030458195632779</c:v>
                </c:pt>
                <c:pt idx="48">
                  <c:v>1.8227412376069501</c:v>
                </c:pt>
                <c:pt idx="49">
                  <c:v>1.8404671138462549</c:v>
                </c:pt>
                <c:pt idx="50">
                  <c:v>1.8564204024616295</c:v>
                </c:pt>
                <c:pt idx="51">
                  <c:v>1.6707783622154666</c:v>
                </c:pt>
                <c:pt idx="52">
                  <c:v>1.50370052599392</c:v>
                </c:pt>
                <c:pt idx="53">
                  <c:v>1.3533304733945279</c:v>
                </c:pt>
                <c:pt idx="54">
                  <c:v>1.2179974260550752</c:v>
                </c:pt>
                <c:pt idx="55">
                  <c:v>1.0961976834495677</c:v>
                </c:pt>
                <c:pt idx="56">
                  <c:v>0.9865779151046109</c:v>
                </c:pt>
                <c:pt idx="57">
                  <c:v>0.88792012359414985</c:v>
                </c:pt>
                <c:pt idx="58">
                  <c:v>0.79912811123473493</c:v>
                </c:pt>
                <c:pt idx="59">
                  <c:v>0.71921530011126145</c:v>
                </c:pt>
                <c:pt idx="60">
                  <c:v>0.64729377010013533</c:v>
                </c:pt>
                <c:pt idx="61">
                  <c:v>0.58256439309012187</c:v>
                </c:pt>
                <c:pt idx="62">
                  <c:v>0.52430795378110973</c:v>
                </c:pt>
                <c:pt idx="63">
                  <c:v>0.47187715840299876</c:v>
                </c:pt>
                <c:pt idx="64">
                  <c:v>0.42468944256269892</c:v>
                </c:pt>
                <c:pt idx="65">
                  <c:v>0.38222049830642901</c:v>
                </c:pt>
                <c:pt idx="66">
                  <c:v>0.34399844847578614</c:v>
                </c:pt>
                <c:pt idx="67">
                  <c:v>0.30959860362820751</c:v>
                </c:pt>
                <c:pt idx="68">
                  <c:v>0.27863874326538679</c:v>
                </c:pt>
                <c:pt idx="69">
                  <c:v>0.25077486893884809</c:v>
                </c:pt>
                <c:pt idx="70">
                  <c:v>0.22569738204496329</c:v>
                </c:pt>
                <c:pt idx="71">
                  <c:v>0.20312764384046697</c:v>
                </c:pt>
                <c:pt idx="72">
                  <c:v>0.18281487945642028</c:v>
                </c:pt>
                <c:pt idx="73">
                  <c:v>0.16453339151077825</c:v>
                </c:pt>
                <c:pt idx="74">
                  <c:v>0.14808005235970043</c:v>
                </c:pt>
                <c:pt idx="75">
                  <c:v>0.13327204712373039</c:v>
                </c:pt>
                <c:pt idx="76">
                  <c:v>0.31994484241135734</c:v>
                </c:pt>
                <c:pt idx="77">
                  <c:v>0.48795035817022164</c:v>
                </c:pt>
                <c:pt idx="78">
                  <c:v>0.6391553223531995</c:v>
                </c:pt>
                <c:pt idx="79">
                  <c:v>0.77523979011787958</c:v>
                </c:pt>
                <c:pt idx="80">
                  <c:v>0.89771581110609167</c:v>
                </c:pt>
                <c:pt idx="81">
                  <c:v>1.0079442299954826</c:v>
                </c:pt>
                <c:pt idx="82">
                  <c:v>1.1071498069959345</c:v>
                </c:pt>
                <c:pt idx="83">
                  <c:v>1.1964348262963411</c:v>
                </c:pt>
                <c:pt idx="84">
                  <c:v>1.2767913436667071</c:v>
                </c:pt>
                <c:pt idx="85">
                  <c:v>1.3491122093000363</c:v>
                </c:pt>
                <c:pt idx="86">
                  <c:v>1.4142009883700326</c:v>
                </c:pt>
                <c:pt idx="87">
                  <c:v>1.4727808895330294</c:v>
                </c:pt>
                <c:pt idx="88">
                  <c:v>1.5255028005797264</c:v>
                </c:pt>
                <c:pt idx="89">
                  <c:v>1.5729525205217538</c:v>
                </c:pt>
                <c:pt idx="90">
                  <c:v>1.6156572684695785</c:v>
                </c:pt>
                <c:pt idx="91">
                  <c:v>1.6540915416226205</c:v>
                </c:pt>
                <c:pt idx="92">
                  <c:v>1.6886823874603585</c:v>
                </c:pt>
                <c:pt idx="93">
                  <c:v>1.7198141487143226</c:v>
                </c:pt>
                <c:pt idx="94">
                  <c:v>1.7478327338428903</c:v>
                </c:pt>
                <c:pt idx="95">
                  <c:v>1.7730494604586013</c:v>
                </c:pt>
                <c:pt idx="96">
                  <c:v>1.7957445144127413</c:v>
                </c:pt>
                <c:pt idx="97">
                  <c:v>1.8161700629714672</c:v>
                </c:pt>
                <c:pt idx="98">
                  <c:v>1.8345530566743204</c:v>
                </c:pt>
                <c:pt idx="99">
                  <c:v>1.8510977510068884</c:v>
                </c:pt>
                <c:pt idx="100">
                  <c:v>1.8659879759061997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9-485E-AC01-138077AB4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x-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方波力!$K$12:$K$112</c:f>
              <c:numCache>
                <c:formatCode>0.000_ </c:formatCode>
                <c:ptCount val="101"/>
                <c:pt idx="0">
                  <c:v>1.3510465708879423E-2</c:v>
                </c:pt>
                <c:pt idx="1">
                  <c:v>8.7967944661137588E-4</c:v>
                </c:pt>
                <c:pt idx="2">
                  <c:v>3.2384513783131723E-4</c:v>
                </c:pt>
                <c:pt idx="3">
                  <c:v>1.6526272834588565E-3</c:v>
                </c:pt>
                <c:pt idx="4">
                  <c:v>6.1323176274873719E-3</c:v>
                </c:pt>
                <c:pt idx="5">
                  <c:v>3.7520451597825096E-3</c:v>
                </c:pt>
                <c:pt idx="6">
                  <c:v>-2.9235993481097388E-3</c:v>
                </c:pt>
                <c:pt idx="7">
                  <c:v>-1.7197147723097888E-3</c:v>
                </c:pt>
                <c:pt idx="8">
                  <c:v>2.8316905520251617E-3</c:v>
                </c:pt>
                <c:pt idx="9">
                  <c:v>-6.1463444197560162E-3</c:v>
                </c:pt>
                <c:pt idx="10">
                  <c:v>-1.9242028211857005E-3</c:v>
                </c:pt>
                <c:pt idx="11">
                  <c:v>-9.710477888053801E-3</c:v>
                </c:pt>
                <c:pt idx="12">
                  <c:v>-6.669945336441746E-3</c:v>
                </c:pt>
                <c:pt idx="13">
                  <c:v>-1.414501512038244E-2</c:v>
                </c:pt>
                <c:pt idx="14">
                  <c:v>-1.2667692494514495E-2</c:v>
                </c:pt>
                <c:pt idx="15">
                  <c:v>-1.0070387165774883E-2</c:v>
                </c:pt>
                <c:pt idx="16">
                  <c:v>-1.3571302578762923E-2</c:v>
                </c:pt>
                <c:pt idx="17">
                  <c:v>-1.7106824591192581E-2</c:v>
                </c:pt>
                <c:pt idx="18">
                  <c:v>-1.8943303522636595E-2</c:v>
                </c:pt>
                <c:pt idx="19">
                  <c:v>-1.6599247315313918E-2</c:v>
                </c:pt>
                <c:pt idx="20">
                  <c:v>-1.2055945753062028E-2</c:v>
                </c:pt>
                <c:pt idx="21">
                  <c:v>-1.8715471496560936E-2</c:v>
                </c:pt>
                <c:pt idx="22">
                  <c:v>-2.0949323336142332E-2</c:v>
                </c:pt>
                <c:pt idx="23">
                  <c:v>-1.9120440100584335E-2</c:v>
                </c:pt>
                <c:pt idx="24">
                  <c:v>-1.8774731271542021E-2</c:v>
                </c:pt>
                <c:pt idx="25">
                  <c:v>-6.7469027769634995E-3</c:v>
                </c:pt>
                <c:pt idx="26">
                  <c:v>1.4189774816791959E-2</c:v>
                </c:pt>
                <c:pt idx="27">
                  <c:v>5.2078379592170779E-2</c:v>
                </c:pt>
                <c:pt idx="28">
                  <c:v>0.11225450666852105</c:v>
                </c:pt>
                <c:pt idx="29">
                  <c:v>0.18882020199859068</c:v>
                </c:pt>
                <c:pt idx="30">
                  <c:v>0.27994207431312013</c:v>
                </c:pt>
                <c:pt idx="31">
                  <c:v>0.38024562702551945</c:v>
                </c:pt>
                <c:pt idx="32">
                  <c:v>0.48629144116886908</c:v>
                </c:pt>
                <c:pt idx="33">
                  <c:v>0.61337808244257375</c:v>
                </c:pt>
                <c:pt idx="34">
                  <c:v>0.75317799867971891</c:v>
                </c:pt>
                <c:pt idx="35">
                  <c:v>0.88768882676184113</c:v>
                </c:pt>
                <c:pt idx="36">
                  <c:v>1.0332032218063683</c:v>
                </c:pt>
                <c:pt idx="37">
                  <c:v>1.179464206846113</c:v>
                </c:pt>
                <c:pt idx="38">
                  <c:v>1.3395875580482692</c:v>
                </c:pt>
                <c:pt idx="39">
                  <c:v>1.5092299278015249</c:v>
                </c:pt>
                <c:pt idx="40">
                  <c:v>1.6704162136291834</c:v>
                </c:pt>
                <c:pt idx="41">
                  <c:v>1.8493171930378964</c:v>
                </c:pt>
                <c:pt idx="42">
                  <c:v>2.0213309653689784</c:v>
                </c:pt>
                <c:pt idx="43">
                  <c:v>2.1972377492046133</c:v>
                </c:pt>
                <c:pt idx="44">
                  <c:v>2.38417729130453</c:v>
                </c:pt>
                <c:pt idx="45">
                  <c:v>2.5587479507551771</c:v>
                </c:pt>
                <c:pt idx="46">
                  <c:v>2.7427101617897893</c:v>
                </c:pt>
                <c:pt idx="47">
                  <c:v>2.9383478209241725</c:v>
                </c:pt>
                <c:pt idx="48">
                  <c:v>3.1244027486680155</c:v>
                </c:pt>
                <c:pt idx="49">
                  <c:v>3.309416960028845</c:v>
                </c:pt>
                <c:pt idx="50">
                  <c:v>3.4947286092252519</c:v>
                </c:pt>
                <c:pt idx="51">
                  <c:v>3.6699389739110311</c:v>
                </c:pt>
                <c:pt idx="52">
                  <c:v>3.8149628943135245</c:v>
                </c:pt>
                <c:pt idx="53">
                  <c:v>3.9592880079343593</c:v>
                </c:pt>
                <c:pt idx="54">
                  <c:v>4.0773364849394955</c:v>
                </c:pt>
                <c:pt idx="55">
                  <c:v>4.1784276830317566</c:v>
                </c:pt>
                <c:pt idx="56">
                  <c:v>4.272918950322099</c:v>
                </c:pt>
                <c:pt idx="57">
                  <c:v>4.3708354181302074</c:v>
                </c:pt>
                <c:pt idx="58">
                  <c:v>4.4542264233956814</c:v>
                </c:pt>
                <c:pt idx="59">
                  <c:v>4.5160536666144839</c:v>
                </c:pt>
                <c:pt idx="60">
                  <c:v>4.5891603672708534</c:v>
                </c:pt>
                <c:pt idx="61">
                  <c:v>4.6548429805199056</c:v>
                </c:pt>
                <c:pt idx="62">
                  <c:v>4.6957784422023359</c:v>
                </c:pt>
                <c:pt idx="63">
                  <c:v>4.7406456665868308</c:v>
                </c:pt>
                <c:pt idx="64">
                  <c:v>4.7818251411794144</c:v>
                </c:pt>
                <c:pt idx="65">
                  <c:v>4.8233769647682632</c:v>
                </c:pt>
                <c:pt idx="66">
                  <c:v>4.8512427080829763</c:v>
                </c:pt>
                <c:pt idx="67">
                  <c:v>4.8922546647174521</c:v>
                </c:pt>
                <c:pt idx="68">
                  <c:v>4.9058573621131281</c:v>
                </c:pt>
                <c:pt idx="69">
                  <c:v>4.9443046155909443</c:v>
                </c:pt>
                <c:pt idx="70">
                  <c:v>4.9592050878295399</c:v>
                </c:pt>
                <c:pt idx="71">
                  <c:v>4.9788169368778359</c:v>
                </c:pt>
                <c:pt idx="72">
                  <c:v>4.9889746744259282</c:v>
                </c:pt>
                <c:pt idx="73">
                  <c:v>5.0062270674611824</c:v>
                </c:pt>
                <c:pt idx="74">
                  <c:v>5.01409407958187</c:v>
                </c:pt>
                <c:pt idx="75">
                  <c:v>5.0465075929215857</c:v>
                </c:pt>
                <c:pt idx="76">
                  <c:v>5.0641964299392868</c:v>
                </c:pt>
                <c:pt idx="77">
                  <c:v>5.1217725463464827</c:v>
                </c:pt>
                <c:pt idx="78">
                  <c:v>5.1847506865887514</c:v>
                </c:pt>
                <c:pt idx="79">
                  <c:v>5.2508564669365549</c:v>
                </c:pt>
                <c:pt idx="80">
                  <c:v>5.352738744609252</c:v>
                </c:pt>
                <c:pt idx="81">
                  <c:v>5.4628052464067229</c:v>
                </c:pt>
                <c:pt idx="82">
                  <c:v>5.583756597250618</c:v>
                </c:pt>
                <c:pt idx="83">
                  <c:v>5.693206575740728</c:v>
                </c:pt>
                <c:pt idx="84">
                  <c:v>5.8202550364992742</c:v>
                </c:pt>
                <c:pt idx="85">
                  <c:v>5.9606165118974843</c:v>
                </c:pt>
                <c:pt idx="86">
                  <c:v>6.10514320595402</c:v>
                </c:pt>
                <c:pt idx="87">
                  <c:v>6.2544931168456017</c:v>
                </c:pt>
                <c:pt idx="88">
                  <c:v>6.4050328579506397</c:v>
                </c:pt>
                <c:pt idx="89">
                  <c:v>6.5787397120351905</c:v>
                </c:pt>
                <c:pt idx="90">
                  <c:v>6.7395373968822527</c:v>
                </c:pt>
                <c:pt idx="91">
                  <c:v>6.9045594722306562</c:v>
                </c:pt>
                <c:pt idx="92">
                  <c:v>7.0751909383082197</c:v>
                </c:pt>
                <c:pt idx="93">
                  <c:v>7.2498061018058797</c:v>
                </c:pt>
                <c:pt idx="94">
                  <c:v>7.4430519537083679</c:v>
                </c:pt>
                <c:pt idx="95">
                  <c:v>7.6177083097601184</c:v>
                </c:pt>
                <c:pt idx="96">
                  <c:v>7.8014733740816364</c:v>
                </c:pt>
                <c:pt idx="97">
                  <c:v>7.9828457862852726</c:v>
                </c:pt>
                <c:pt idx="98">
                  <c:v>8.1662250373649599</c:v>
                </c:pt>
                <c:pt idx="99">
                  <c:v>8.3548489842674947</c:v>
                </c:pt>
                <c:pt idx="100">
                  <c:v>8.5390493344833622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39-4C12-AC2B-DB34F6CF6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v-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方波力!$L$12:$L$112</c:f>
              <c:numCache>
                <c:formatCode>0.000_ </c:formatCode>
                <c:ptCount val="101"/>
                <c:pt idx="0">
                  <c:v>0</c:v>
                </c:pt>
                <c:pt idx="1">
                  <c:v>-2.5261572524536095E-2</c:v>
                </c:pt>
                <c:pt idx="2">
                  <c:v>-2.132092663718899E-2</c:v>
                </c:pt>
                <c:pt idx="3">
                  <c:v>-1.4399177018496115E-2</c:v>
                </c:pt>
                <c:pt idx="4">
                  <c:v>-2.5599609267398602E-3</c:v>
                </c:pt>
                <c:pt idx="5">
                  <c:v>-6.8085136768016126E-3</c:v>
                </c:pt>
                <c:pt idx="6">
                  <c:v>-1.8798099957225787E-2</c:v>
                </c:pt>
                <c:pt idx="7">
                  <c:v>-1.263071081418073E-2</c:v>
                </c:pt>
                <c:pt idx="8">
                  <c:v>-1.0017580026746827E-3</c:v>
                </c:pt>
                <c:pt idx="9">
                  <c:v>-1.8757476345702101E-2</c:v>
                </c:pt>
                <c:pt idx="10">
                  <c:v>-6.5616978794210508E-3</c:v>
                </c:pt>
                <c:pt idx="11">
                  <c:v>-2.0821908437273037E-2</c:v>
                </c:pt>
                <c:pt idx="12">
                  <c:v>-1.0576461646594322E-2</c:v>
                </c:pt>
                <c:pt idx="13">
                  <c:v>-2.3411308885156842E-2</c:v>
                </c:pt>
                <c:pt idx="14">
                  <c:v>-1.5774401856389588E-2</c:v>
                </c:pt>
                <c:pt idx="15">
                  <c:v>-7.4249108276324485E-3</c:v>
                </c:pt>
                <c:pt idx="16">
                  <c:v>-1.2941759488082037E-2</c:v>
                </c:pt>
                <c:pt idx="17">
                  <c:v>-1.7424451615324941E-2</c:v>
                </c:pt>
                <c:pt idx="18">
                  <c:v>-1.7612519155147981E-2</c:v>
                </c:pt>
                <c:pt idx="19">
                  <c:v>-9.4019029094730318E-3</c:v>
                </c:pt>
                <c:pt idx="20">
                  <c:v>1.5650807969253538E-3</c:v>
                </c:pt>
                <c:pt idx="21">
                  <c:v>-1.206698684945753E-2</c:v>
                </c:pt>
                <c:pt idx="22">
                  <c:v>-1.4121293158728817E-2</c:v>
                </c:pt>
                <c:pt idx="23">
                  <c:v>-7.6392680558670613E-3</c:v>
                </c:pt>
                <c:pt idx="24">
                  <c:v>-5.4199967866090208E-3</c:v>
                </c:pt>
                <c:pt idx="25">
                  <c:v>1.9719659559869825E-2</c:v>
                </c:pt>
                <c:pt idx="26">
                  <c:v>0.25764908283540677</c:v>
                </c:pt>
                <c:pt idx="27">
                  <c:v>0.46189647581908305</c:v>
                </c:pt>
                <c:pt idx="28">
                  <c:v>0.651869434807967</c:v>
                </c:pt>
                <c:pt idx="29">
                  <c:v>0.82042693850651283</c:v>
                </c:pt>
                <c:pt idx="30">
                  <c:v>0.96980529543426919</c:v>
                </c:pt>
                <c:pt idx="31">
                  <c:v>1.0945493417722141</c:v>
                </c:pt>
                <c:pt idx="32">
                  <c:v>1.1940193017044707</c:v>
                </c:pt>
                <c:pt idx="33">
                  <c:v>1.3050481039109858</c:v>
                </c:pt>
                <c:pt idx="34">
                  <c:v>1.4097317576030788</c:v>
                </c:pt>
                <c:pt idx="35">
                  <c:v>1.4742911600467075</c:v>
                </c:pt>
                <c:pt idx="36">
                  <c:v>1.5401974061464203</c:v>
                </c:pt>
                <c:pt idx="37">
                  <c:v>1.5874420142146253</c:v>
                </c:pt>
                <c:pt idx="38">
                  <c:v>1.6466862210722129</c:v>
                </c:pt>
                <c:pt idx="39">
                  <c:v>1.7074710329308618</c:v>
                </c:pt>
                <c:pt idx="40">
                  <c:v>1.7341029829099279</c:v>
                </c:pt>
                <c:pt idx="41">
                  <c:v>1.7862625715642981</c:v>
                </c:pt>
                <c:pt idx="42">
                  <c:v>1.8100980056906386</c:v>
                </c:pt>
                <c:pt idx="43">
                  <c:v>1.8332463356231139</c:v>
                </c:pt>
                <c:pt idx="44">
                  <c:v>1.8704950797577253</c:v>
                </c:pt>
                <c:pt idx="45">
                  <c:v>1.8725544170609338</c:v>
                </c:pt>
                <c:pt idx="46">
                  <c:v>1.8902832866360852</c:v>
                </c:pt>
                <c:pt idx="47">
                  <c:v>1.9253857454039374</c:v>
                </c:pt>
                <c:pt idx="48">
                  <c:v>1.9321138698545084</c:v>
                </c:pt>
                <c:pt idx="49">
                  <c:v>1.9334453948445698</c:v>
                </c:pt>
                <c:pt idx="50">
                  <c:v>1.9333329028838444</c:v>
                </c:pt>
                <c:pt idx="51">
                  <c:v>1.7114450114324706</c:v>
                </c:pt>
                <c:pt idx="52">
                  <c:v>1.4921260137294168</c:v>
                </c:pt>
                <c:pt idx="53">
                  <c:v>1.3319809856258111</c:v>
                </c:pt>
                <c:pt idx="54">
                  <c:v>1.166348695171469</c:v>
                </c:pt>
                <c:pt idx="55">
                  <c:v>1.0134616097161904</c:v>
                </c:pt>
                <c:pt idx="56">
                  <c:v>0.89013205400868112</c:v>
                </c:pt>
                <c:pt idx="57">
                  <c:v>0.80928078731270103</c:v>
                </c:pt>
                <c:pt idx="58">
                  <c:v>0.72541462802169321</c:v>
                </c:pt>
                <c:pt idx="59">
                  <c:v>0.62407337773148541</c:v>
                </c:pt>
                <c:pt idx="60">
                  <c:v>0.57355057348680227</c:v>
                </c:pt>
                <c:pt idx="61">
                  <c:v>0.52547630827753178</c:v>
                </c:pt>
                <c:pt idx="62">
                  <c:v>0.44399553067787445</c:v>
                </c:pt>
                <c:pt idx="63">
                  <c:v>0.39250007793317948</c:v>
                </c:pt>
                <c:pt idx="64">
                  <c:v>0.3491712956914107</c:v>
                </c:pt>
                <c:pt idx="65">
                  <c:v>0.31997173947455582</c:v>
                </c:pt>
                <c:pt idx="66">
                  <c:v>0.27348682837842714</c:v>
                </c:pt>
                <c:pt idx="67">
                  <c:v>0.26641353112411564</c:v>
                </c:pt>
                <c:pt idx="68">
                  <c:v>0.20937635932782223</c:v>
                </c:pt>
                <c:pt idx="69">
                  <c:v>0.21653172009135108</c:v>
                </c:pt>
                <c:pt idx="70">
                  <c:v>0.1779488336563875</c:v>
                </c:pt>
                <c:pt idx="71">
                  <c:v>0.15901302681720561</c:v>
                </c:pt>
                <c:pt idx="72">
                  <c:v>0.12721313216590169</c:v>
                </c:pt>
                <c:pt idx="73">
                  <c:v>0.11799380385758626</c:v>
                </c:pt>
                <c:pt idx="74">
                  <c:v>9.3675728176367906E-2</c:v>
                </c:pt>
                <c:pt idx="75">
                  <c:v>0.12495960398455605</c:v>
                </c:pt>
                <c:pt idx="76">
                  <c:v>0.32201815251067445</c:v>
                </c:pt>
                <c:pt idx="77">
                  <c:v>0.54077227058179611</c:v>
                </c:pt>
                <c:pt idx="78">
                  <c:v>0.70977906113295186</c:v>
                </c:pt>
                <c:pt idx="79">
                  <c:v>0.83611927736664704</c:v>
                </c:pt>
                <c:pt idx="80">
                  <c:v>0.99513599822692389</c:v>
                </c:pt>
                <c:pt idx="81">
                  <c:v>1.126470221065871</c:v>
                </c:pt>
                <c:pt idx="82">
                  <c:v>1.2422844555409387</c:v>
                </c:pt>
                <c:pt idx="83">
                  <c:v>1.302012540713378</c:v>
                </c:pt>
                <c:pt idx="84">
                  <c:v>1.376063471458161</c:v>
                </c:pt>
                <c:pt idx="85">
                  <c:v>1.4538945935962801</c:v>
                </c:pt>
                <c:pt idx="86">
                  <c:v>1.5172578420600913</c:v>
                </c:pt>
                <c:pt idx="87">
                  <c:v>1.5710859965942328</c:v>
                </c:pt>
                <c:pt idx="88">
                  <c:v>1.6106701905321579</c:v>
                </c:pt>
                <c:pt idx="89">
                  <c:v>1.683399580536854</c:v>
                </c:pt>
                <c:pt idx="90">
                  <c:v>1.7110197820714326</c:v>
                </c:pt>
                <c:pt idx="91">
                  <c:v>1.7372942495069956</c:v>
                </c:pt>
                <c:pt idx="92">
                  <c:v>1.7656891775984609</c:v>
                </c:pt>
                <c:pt idx="93">
                  <c:v>1.7929134303280532</c:v>
                </c:pt>
                <c:pt idx="94">
                  <c:v>1.8488410331959866</c:v>
                </c:pt>
                <c:pt idx="95">
                  <c:v>1.8536022652760025</c:v>
                </c:pt>
                <c:pt idx="96">
                  <c:v>1.8731069948179777</c:v>
                </c:pt>
                <c:pt idx="97">
                  <c:v>1.8816559688203802</c:v>
                </c:pt>
                <c:pt idx="98">
                  <c:v>1.8904662709185325</c:v>
                </c:pt>
                <c:pt idx="99">
                  <c:v>1.9061656048724598</c:v>
                </c:pt>
                <c:pt idx="100">
                  <c:v>1.9082234092290171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C5-4726-BE6F-A5623B8E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09280"/>
        <c:axId val="161616480"/>
      </c:lineChart>
      <c:catAx>
        <c:axId val="161609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16480"/>
        <c:crosses val="autoZero"/>
        <c:auto val="1"/>
        <c:lblAlgn val="ctr"/>
        <c:lblOffset val="100"/>
        <c:noMultiLvlLbl val="0"/>
      </c:catAx>
      <c:valAx>
        <c:axId val="16161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16092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0</xdr:rowOff>
    </xdr:from>
    <xdr:to>
      <xdr:col>18</xdr:col>
      <xdr:colOff>819429</xdr:colOff>
      <xdr:row>17</xdr:row>
      <xdr:rowOff>2000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C5E273A9-91E5-4996-856D-4A44CE474F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18</xdr:col>
      <xdr:colOff>819429</xdr:colOff>
      <xdr:row>35</xdr:row>
      <xdr:rowOff>2000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033C0885-4B83-4F5A-ABDF-1B44B53AE4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18</xdr:col>
      <xdr:colOff>819429</xdr:colOff>
      <xdr:row>53</xdr:row>
      <xdr:rowOff>2000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7EC48AB1-89F0-4E96-8E26-38A515C17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54</xdr:row>
      <xdr:rowOff>0</xdr:rowOff>
    </xdr:from>
    <xdr:to>
      <xdr:col>18</xdr:col>
      <xdr:colOff>819429</xdr:colOff>
      <xdr:row>71</xdr:row>
      <xdr:rowOff>2000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31B49AC1-811A-4456-BA33-05CA7B402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18</xdr:col>
      <xdr:colOff>819429</xdr:colOff>
      <xdr:row>89</xdr:row>
      <xdr:rowOff>2000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3EED4F27-426B-4CCF-A26E-7293C9F754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25</xdr:col>
      <xdr:colOff>819429</xdr:colOff>
      <xdr:row>17</xdr:row>
      <xdr:rowOff>2000</xdr:rowOff>
    </xdr:to>
    <xdr:graphicFrame macro="">
      <xdr:nvGraphicFramePr>
        <xdr:cNvPr id="42" name="图表 41">
          <a:extLst>
            <a:ext uri="{FF2B5EF4-FFF2-40B4-BE49-F238E27FC236}">
              <a16:creationId xmlns:a16="http://schemas.microsoft.com/office/drawing/2014/main" id="{7AA40E56-4E51-4485-8D79-8D0DB2C44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0</xdr:colOff>
      <xdr:row>18</xdr:row>
      <xdr:rowOff>0</xdr:rowOff>
    </xdr:from>
    <xdr:to>
      <xdr:col>25</xdr:col>
      <xdr:colOff>819429</xdr:colOff>
      <xdr:row>35</xdr:row>
      <xdr:rowOff>2000</xdr:rowOff>
    </xdr:to>
    <xdr:graphicFrame macro="">
      <xdr:nvGraphicFramePr>
        <xdr:cNvPr id="43" name="图表 42">
          <a:extLst>
            <a:ext uri="{FF2B5EF4-FFF2-40B4-BE49-F238E27FC236}">
              <a16:creationId xmlns:a16="http://schemas.microsoft.com/office/drawing/2014/main" id="{660B5FE0-D5EC-4590-8298-A38465F912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0</xdr:colOff>
      <xdr:row>36</xdr:row>
      <xdr:rowOff>0</xdr:rowOff>
    </xdr:from>
    <xdr:to>
      <xdr:col>25</xdr:col>
      <xdr:colOff>819429</xdr:colOff>
      <xdr:row>53</xdr:row>
      <xdr:rowOff>2000</xdr:rowOff>
    </xdr:to>
    <xdr:graphicFrame macro="">
      <xdr:nvGraphicFramePr>
        <xdr:cNvPr id="44" name="图表 43">
          <a:extLst>
            <a:ext uri="{FF2B5EF4-FFF2-40B4-BE49-F238E27FC236}">
              <a16:creationId xmlns:a16="http://schemas.microsoft.com/office/drawing/2014/main" id="{22BD8234-AFFA-4E2B-905B-84A4BF3598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0</xdr:colOff>
      <xdr:row>54</xdr:row>
      <xdr:rowOff>0</xdr:rowOff>
    </xdr:from>
    <xdr:to>
      <xdr:col>25</xdr:col>
      <xdr:colOff>819429</xdr:colOff>
      <xdr:row>71</xdr:row>
      <xdr:rowOff>2000</xdr:rowOff>
    </xdr:to>
    <xdr:graphicFrame macro="">
      <xdr:nvGraphicFramePr>
        <xdr:cNvPr id="45" name="图表 44">
          <a:extLst>
            <a:ext uri="{FF2B5EF4-FFF2-40B4-BE49-F238E27FC236}">
              <a16:creationId xmlns:a16="http://schemas.microsoft.com/office/drawing/2014/main" id="{C7174DF2-8699-44C1-AF46-C29FF1C810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0</xdr:colOff>
      <xdr:row>72</xdr:row>
      <xdr:rowOff>0</xdr:rowOff>
    </xdr:from>
    <xdr:to>
      <xdr:col>25</xdr:col>
      <xdr:colOff>819429</xdr:colOff>
      <xdr:row>89</xdr:row>
      <xdr:rowOff>2000</xdr:rowOff>
    </xdr:to>
    <xdr:graphicFrame macro="">
      <xdr:nvGraphicFramePr>
        <xdr:cNvPr id="46" name="图表 45">
          <a:extLst>
            <a:ext uri="{FF2B5EF4-FFF2-40B4-BE49-F238E27FC236}">
              <a16:creationId xmlns:a16="http://schemas.microsoft.com/office/drawing/2014/main" id="{C7B7C767-F9A6-4209-AD79-0479ED365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0</xdr:rowOff>
    </xdr:from>
    <xdr:to>
      <xdr:col>18</xdr:col>
      <xdr:colOff>819429</xdr:colOff>
      <xdr:row>17</xdr:row>
      <xdr:rowOff>2000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7213574-EAFB-4A35-90FF-7D18D097A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18</xdr:col>
      <xdr:colOff>819429</xdr:colOff>
      <xdr:row>35</xdr:row>
      <xdr:rowOff>2000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C328820-90A8-42C7-BA0C-401463E4A9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18</xdr:col>
      <xdr:colOff>819429</xdr:colOff>
      <xdr:row>53</xdr:row>
      <xdr:rowOff>2000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FE39BD5-DAE3-4600-8591-DADDB5BA0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54</xdr:row>
      <xdr:rowOff>0</xdr:rowOff>
    </xdr:from>
    <xdr:to>
      <xdr:col>18</xdr:col>
      <xdr:colOff>819429</xdr:colOff>
      <xdr:row>71</xdr:row>
      <xdr:rowOff>2000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796FF63-B0E3-4C8C-BB55-78331F9EA7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18</xdr:col>
      <xdr:colOff>819429</xdr:colOff>
      <xdr:row>89</xdr:row>
      <xdr:rowOff>2000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D29EB81F-2349-44DE-B3F8-445219E194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25</xdr:col>
      <xdr:colOff>819429</xdr:colOff>
      <xdr:row>17</xdr:row>
      <xdr:rowOff>2000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219F79D3-6C64-49BA-BE0F-6240F260CF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0</xdr:colOff>
      <xdr:row>18</xdr:row>
      <xdr:rowOff>0</xdr:rowOff>
    </xdr:from>
    <xdr:to>
      <xdr:col>25</xdr:col>
      <xdr:colOff>819429</xdr:colOff>
      <xdr:row>35</xdr:row>
      <xdr:rowOff>2000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BBFBF60-B35D-42AE-ACD9-66A4108D0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0</xdr:colOff>
      <xdr:row>36</xdr:row>
      <xdr:rowOff>0</xdr:rowOff>
    </xdr:from>
    <xdr:to>
      <xdr:col>25</xdr:col>
      <xdr:colOff>819429</xdr:colOff>
      <xdr:row>53</xdr:row>
      <xdr:rowOff>2000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07E7C748-1734-4F5C-A318-2916B4B7B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0</xdr:colOff>
      <xdr:row>54</xdr:row>
      <xdr:rowOff>0</xdr:rowOff>
    </xdr:from>
    <xdr:to>
      <xdr:col>25</xdr:col>
      <xdr:colOff>819429</xdr:colOff>
      <xdr:row>71</xdr:row>
      <xdr:rowOff>2000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D40C0250-4BC1-40A9-8D19-7736402F4A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0</xdr:colOff>
      <xdr:row>72</xdr:row>
      <xdr:rowOff>0</xdr:rowOff>
    </xdr:from>
    <xdr:to>
      <xdr:col>25</xdr:col>
      <xdr:colOff>819429</xdr:colOff>
      <xdr:row>89</xdr:row>
      <xdr:rowOff>2000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25C90EFC-FA3B-434A-8917-BCFE27158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0</xdr:rowOff>
    </xdr:from>
    <xdr:to>
      <xdr:col>18</xdr:col>
      <xdr:colOff>819429</xdr:colOff>
      <xdr:row>17</xdr:row>
      <xdr:rowOff>2000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AD76E28-6566-4F83-A059-EBE2771CA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18</xdr:col>
      <xdr:colOff>819429</xdr:colOff>
      <xdr:row>35</xdr:row>
      <xdr:rowOff>2000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868D2274-80AE-427F-BE8B-7AF564647F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18</xdr:col>
      <xdr:colOff>819429</xdr:colOff>
      <xdr:row>53</xdr:row>
      <xdr:rowOff>2000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325C54-E65A-410B-90AB-9AB4B32FD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54</xdr:row>
      <xdr:rowOff>0</xdr:rowOff>
    </xdr:from>
    <xdr:to>
      <xdr:col>18</xdr:col>
      <xdr:colOff>819429</xdr:colOff>
      <xdr:row>71</xdr:row>
      <xdr:rowOff>2000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DA486D85-231F-42D2-9F73-B06BABCE93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18</xdr:col>
      <xdr:colOff>819429</xdr:colOff>
      <xdr:row>89</xdr:row>
      <xdr:rowOff>2000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6C47B92-1402-482B-AD02-7FDB508DB4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25</xdr:col>
      <xdr:colOff>819429</xdr:colOff>
      <xdr:row>17</xdr:row>
      <xdr:rowOff>2000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B9ED80BF-0D78-4B60-9B13-820E5B5146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0</xdr:colOff>
      <xdr:row>18</xdr:row>
      <xdr:rowOff>0</xdr:rowOff>
    </xdr:from>
    <xdr:to>
      <xdr:col>25</xdr:col>
      <xdr:colOff>819429</xdr:colOff>
      <xdr:row>35</xdr:row>
      <xdr:rowOff>2000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F37A125E-4037-4624-9376-ABD2E72BA9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0</xdr:colOff>
      <xdr:row>36</xdr:row>
      <xdr:rowOff>0</xdr:rowOff>
    </xdr:from>
    <xdr:to>
      <xdr:col>25</xdr:col>
      <xdr:colOff>819429</xdr:colOff>
      <xdr:row>53</xdr:row>
      <xdr:rowOff>2000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28B86E80-4EFF-4256-AA5E-7E07DBAE60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0</xdr:colOff>
      <xdr:row>54</xdr:row>
      <xdr:rowOff>0</xdr:rowOff>
    </xdr:from>
    <xdr:to>
      <xdr:col>25</xdr:col>
      <xdr:colOff>819429</xdr:colOff>
      <xdr:row>71</xdr:row>
      <xdr:rowOff>2000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A6B046B2-80D6-498C-AD0B-8300775BE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0</xdr:colOff>
      <xdr:row>72</xdr:row>
      <xdr:rowOff>0</xdr:rowOff>
    </xdr:from>
    <xdr:to>
      <xdr:col>25</xdr:col>
      <xdr:colOff>819429</xdr:colOff>
      <xdr:row>89</xdr:row>
      <xdr:rowOff>2000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2BE81245-D198-4949-924A-FA8759C8FB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D8F1C-7D46-4CE6-ACC2-31D0CB6584C9}">
  <dimension ref="A1:S113"/>
  <sheetViews>
    <sheetView tabSelected="1" topLeftCell="G43" zoomScale="55" zoomScaleNormal="55" workbookViewId="0">
      <selection activeCell="I6" sqref="I6"/>
    </sheetView>
  </sheetViews>
  <sheetFormatPr defaultColWidth="9.25" defaultRowHeight="20" x14ac:dyDescent="0.4"/>
  <cols>
    <col min="1" max="1" width="9.5625" style="4" bestFit="1" customWidth="1"/>
    <col min="2" max="2" width="21.3125" style="4" bestFit="1" customWidth="1"/>
    <col min="3" max="3" width="25.5625" style="4" bestFit="1" customWidth="1"/>
    <col min="4" max="4" width="24.3125" style="4" bestFit="1" customWidth="1"/>
    <col min="5" max="5" width="23.8125" style="4" bestFit="1" customWidth="1"/>
    <col min="6" max="6" width="20.0625" style="4" bestFit="1" customWidth="1"/>
    <col min="7" max="7" width="18.3125" style="4" bestFit="1" customWidth="1"/>
    <col min="8" max="8" width="25.25" style="4" bestFit="1" customWidth="1"/>
    <col min="9" max="9" width="19.0625" style="4" bestFit="1" customWidth="1"/>
    <col min="10" max="10" width="20.75" style="4" bestFit="1" customWidth="1"/>
    <col min="11" max="11" width="19.8125" style="4" bestFit="1" customWidth="1"/>
    <col min="12" max="12" width="21.5625" style="4" bestFit="1" customWidth="1"/>
    <col min="13" max="16384" width="9.25" style="4"/>
  </cols>
  <sheetData>
    <row r="1" spans="1:19" s="2" customFormat="1" x14ac:dyDescent="0.4">
      <c r="A1" s="13" t="s">
        <v>0</v>
      </c>
      <c r="B1" s="1" t="s">
        <v>7</v>
      </c>
      <c r="C1" s="1" t="s">
        <v>5</v>
      </c>
      <c r="D1" s="1" t="s">
        <v>4</v>
      </c>
      <c r="E1" s="1" t="s">
        <v>3</v>
      </c>
      <c r="F1" s="12"/>
      <c r="G1" s="12"/>
    </row>
    <row r="2" spans="1:19" s="2" customFormat="1" x14ac:dyDescent="0.4">
      <c r="A2" s="13"/>
      <c r="B2" s="2">
        <v>1</v>
      </c>
      <c r="C2" s="2">
        <v>-10</v>
      </c>
      <c r="D2" s="2">
        <v>-1</v>
      </c>
      <c r="E2" s="2">
        <v>0.1</v>
      </c>
    </row>
    <row r="3" spans="1:19" s="2" customFormat="1" x14ac:dyDescent="0.4">
      <c r="A3" s="14" t="s">
        <v>2</v>
      </c>
      <c r="B3" s="3" t="s">
        <v>6</v>
      </c>
      <c r="C3" s="3" t="s">
        <v>8</v>
      </c>
    </row>
    <row r="4" spans="1:19" s="2" customFormat="1" x14ac:dyDescent="0.4">
      <c r="A4" s="14"/>
      <c r="B4" s="2">
        <v>0</v>
      </c>
      <c r="C4" s="2">
        <v>0</v>
      </c>
    </row>
    <row r="5" spans="1:19" s="2" customFormat="1" x14ac:dyDescent="0.4">
      <c r="A5" s="15" t="s">
        <v>10</v>
      </c>
      <c r="B5" s="10" t="s">
        <v>12</v>
      </c>
      <c r="C5" s="10" t="s">
        <v>11</v>
      </c>
      <c r="D5" s="7"/>
    </row>
    <row r="6" spans="1:19" s="2" customFormat="1" x14ac:dyDescent="0.4">
      <c r="A6" s="16"/>
      <c r="B6" s="2">
        <v>0.1</v>
      </c>
      <c r="C6" s="2">
        <v>0.01</v>
      </c>
    </row>
    <row r="7" spans="1:19" s="2" customFormat="1" x14ac:dyDescent="0.4">
      <c r="A7" s="17" t="s">
        <v>0</v>
      </c>
      <c r="B7" s="11" t="s">
        <v>23</v>
      </c>
      <c r="C7" s="11" t="s">
        <v>24</v>
      </c>
    </row>
    <row r="8" spans="1:19" s="2" customFormat="1" x14ac:dyDescent="0.4">
      <c r="A8" s="18"/>
      <c r="B8" s="2">
        <v>0.5</v>
      </c>
      <c r="C8" s="2">
        <v>0.1</v>
      </c>
    </row>
    <row r="9" spans="1:19" x14ac:dyDescent="0.4">
      <c r="O9" s="2"/>
      <c r="P9" s="2"/>
      <c r="Q9" s="2"/>
      <c r="R9" s="2"/>
      <c r="S9" s="2"/>
    </row>
    <row r="10" spans="1:19" x14ac:dyDescent="0.4">
      <c r="O10" s="2"/>
      <c r="P10" s="2"/>
      <c r="Q10" s="2"/>
      <c r="R10" s="2"/>
      <c r="S10" s="2"/>
    </row>
    <row r="11" spans="1:19" x14ac:dyDescent="0.4">
      <c r="A11" s="9" t="s">
        <v>1</v>
      </c>
      <c r="B11" s="9" t="s">
        <v>9</v>
      </c>
      <c r="C11" s="9" t="s">
        <v>13</v>
      </c>
      <c r="D11" s="9" t="s">
        <v>18</v>
      </c>
      <c r="E11" s="9" t="s">
        <v>14</v>
      </c>
      <c r="F11" s="9" t="s">
        <v>15</v>
      </c>
      <c r="G11" s="9" t="s">
        <v>16</v>
      </c>
      <c r="H11" s="9" t="s">
        <v>17</v>
      </c>
      <c r="I11" s="9" t="s">
        <v>22</v>
      </c>
      <c r="J11" s="9" t="s">
        <v>21</v>
      </c>
      <c r="K11" s="9" t="s">
        <v>19</v>
      </c>
      <c r="L11" s="9" t="s">
        <v>20</v>
      </c>
      <c r="O11" s="2"/>
      <c r="P11" s="2"/>
      <c r="Q11" s="2"/>
      <c r="R11" s="2"/>
      <c r="S11" s="2"/>
    </row>
    <row r="12" spans="1:19" x14ac:dyDescent="0.4">
      <c r="A12" s="5">
        <v>0</v>
      </c>
      <c r="B12" s="4">
        <v>0</v>
      </c>
      <c r="C12" s="4">
        <v>10</v>
      </c>
      <c r="D12" s="8">
        <f ca="1">C12+IF($B$6&lt;=0,0,_xlfn.NORM.INV(RAND(),0,$B$6))</f>
        <v>9.9861920987792399</v>
      </c>
      <c r="E12" s="6">
        <f ca="1">(D12+$C$2+$D$2*$B$4)/$B$2</f>
        <v>-1.3807901220760144E-2</v>
      </c>
      <c r="F12" s="6">
        <f>$B$4</f>
        <v>0</v>
      </c>
      <c r="G12" s="6">
        <f>$C$4</f>
        <v>0</v>
      </c>
      <c r="H12" s="6">
        <f t="shared" ref="H12:H75" ca="1" si="0">G12+IF($C$6&lt;=0,0,_xlfn.NORM.INV(RAND(),0,$C$6))</f>
        <v>9.9036673014438865E-4</v>
      </c>
      <c r="I12" s="6">
        <f ca="1">$H$12</f>
        <v>9.9036673014438865E-4</v>
      </c>
      <c r="J12" s="6">
        <v>0</v>
      </c>
      <c r="K12" s="8">
        <f ca="1">I12+$B$8*(H12-I12)</f>
        <v>9.9036673014438865E-4</v>
      </c>
      <c r="L12" s="8">
        <f ca="1">J12+$C$8*(H12-I12)/$E$2</f>
        <v>0</v>
      </c>
      <c r="O12" s="2"/>
      <c r="P12" s="2"/>
      <c r="Q12" s="2"/>
      <c r="R12" s="2"/>
      <c r="S12" s="2"/>
    </row>
    <row r="13" spans="1:19" x14ac:dyDescent="0.4">
      <c r="A13" s="5">
        <v>1</v>
      </c>
      <c r="B13" s="4">
        <f>A13*$E$2</f>
        <v>0.1</v>
      </c>
      <c r="C13" s="4">
        <v>10</v>
      </c>
      <c r="D13" s="8">
        <f t="shared" ref="D13:D76" ca="1" si="1">C13+IF($B$6&lt;=0,0,_xlfn.NORM.INV(RAND(),0,$B$6))</f>
        <v>10.132656432130135</v>
      </c>
      <c r="E13" s="4">
        <f ca="1">(D13+$C$2+$D$2*F12)/$B$2</f>
        <v>0.13265643213013512</v>
      </c>
      <c r="F13" s="4">
        <f ca="1">F12+E13*$E$2</f>
        <v>1.3265643213013512E-2</v>
      </c>
      <c r="G13" s="4">
        <f ca="1">G12+F13*$E$2</f>
        <v>1.3265643213013513E-3</v>
      </c>
      <c r="H13" s="8">
        <f t="shared" ca="1" si="0"/>
        <v>1.1373984874362022E-2</v>
      </c>
      <c r="I13" s="4">
        <f ca="1">I12+L12*$E$2</f>
        <v>9.9036673014438865E-4</v>
      </c>
      <c r="J13" s="4">
        <f>(1+$D$2*$E$2/$B$2)*J12+$E$2*(C12+$C$2)/$B$2</f>
        <v>0</v>
      </c>
      <c r="K13" s="8">
        <f t="shared" ref="K13:K76" ca="1" si="2">I13+$B$8*(H13-I13)</f>
        <v>6.1821758022532055E-3</v>
      </c>
      <c r="L13" s="8">
        <f ca="1">J13+$C$8*(H13-I13)/$E$2</f>
        <v>1.0383618144217633E-2</v>
      </c>
      <c r="O13" s="2"/>
      <c r="P13" s="2"/>
      <c r="Q13" s="2"/>
      <c r="R13" s="2"/>
      <c r="S13" s="2"/>
    </row>
    <row r="14" spans="1:19" x14ac:dyDescent="0.4">
      <c r="A14" s="5">
        <v>2</v>
      </c>
      <c r="B14" s="4">
        <f t="shared" ref="B14:B77" si="3">A14*$E$2</f>
        <v>0.2</v>
      </c>
      <c r="C14" s="4">
        <v>10</v>
      </c>
      <c r="D14" s="8">
        <f t="shared" ca="1" si="1"/>
        <v>9.9297480614319902</v>
      </c>
      <c r="E14" s="4">
        <f t="shared" ref="E14:E77" ca="1" si="4">(D14+$C$2+$D$2*F13)/$B$2</f>
        <v>-8.3517581781023337E-2</v>
      </c>
      <c r="F14" s="4">
        <f t="shared" ref="F14:G29" ca="1" si="5">F13+E14*$E$2</f>
        <v>4.9138850349111779E-3</v>
      </c>
      <c r="G14" s="4">
        <f t="shared" ca="1" si="5"/>
        <v>1.817952824792469E-3</v>
      </c>
      <c r="H14" s="8">
        <f t="shared" ca="1" si="0"/>
        <v>-6.7273254129548597E-3</v>
      </c>
      <c r="I14" s="4">
        <f t="shared" ref="I14:I77" ca="1" si="6">I13+L13*$E$2</f>
        <v>2.0287285445661522E-3</v>
      </c>
      <c r="J14" s="4">
        <f t="shared" ref="J14:J77" si="7">(1+$D$2*$E$2/$B$2)*J13+$E$2*(C13+$C$2)/$B$2</f>
        <v>0</v>
      </c>
      <c r="K14" s="8">
        <f t="shared" ca="1" si="2"/>
        <v>-2.3492984341943537E-3</v>
      </c>
      <c r="L14" s="8">
        <f t="shared" ref="L14:L77" ca="1" si="8">J14+$C$8*(H14-I14)/$E$2</f>
        <v>-8.7560539575210119E-3</v>
      </c>
      <c r="O14" s="2"/>
      <c r="P14" s="2"/>
      <c r="Q14" s="2"/>
      <c r="R14" s="2"/>
      <c r="S14" s="2"/>
    </row>
    <row r="15" spans="1:19" x14ac:dyDescent="0.4">
      <c r="A15" s="5">
        <v>3</v>
      </c>
      <c r="B15" s="4">
        <f t="shared" si="3"/>
        <v>0.30000000000000004</v>
      </c>
      <c r="C15" s="4">
        <v>10</v>
      </c>
      <c r="D15" s="8">
        <f t="shared" ca="1" si="1"/>
        <v>10.123674153497895</v>
      </c>
      <c r="E15" s="4">
        <f t="shared" ca="1" si="4"/>
        <v>0.1187602684629835</v>
      </c>
      <c r="F15" s="4">
        <f t="shared" ca="1" si="5"/>
        <v>1.6789911881209527E-2</v>
      </c>
      <c r="G15" s="4">
        <f t="shared" ca="1" si="5"/>
        <v>3.4969440129134217E-3</v>
      </c>
      <c r="H15" s="8">
        <f t="shared" ca="1" si="0"/>
        <v>2.0677733897029758E-4</v>
      </c>
      <c r="I15" s="4">
        <f t="shared" ca="1" si="6"/>
        <v>1.153123148814051E-3</v>
      </c>
      <c r="J15" s="4">
        <f t="shared" si="7"/>
        <v>0</v>
      </c>
      <c r="K15" s="8">
        <f ca="1">I15+$B$8*(H15-I15)</f>
        <v>6.7995024389217427E-4</v>
      </c>
      <c r="L15" s="8">
        <f t="shared" ca="1" si="8"/>
        <v>-9.4634580984375338E-4</v>
      </c>
      <c r="O15" s="2"/>
      <c r="P15" s="2"/>
      <c r="Q15" s="2"/>
      <c r="R15" s="2"/>
      <c r="S15" s="2"/>
    </row>
    <row r="16" spans="1:19" x14ac:dyDescent="0.4">
      <c r="A16" s="5">
        <v>4</v>
      </c>
      <c r="B16" s="4">
        <f t="shared" si="3"/>
        <v>0.4</v>
      </c>
      <c r="C16" s="4">
        <v>10</v>
      </c>
      <c r="D16" s="8">
        <f t="shared" ca="1" si="1"/>
        <v>10.038806098108243</v>
      </c>
      <c r="E16" s="4">
        <f t="shared" ca="1" si="4"/>
        <v>2.2016186227033011E-2</v>
      </c>
      <c r="F16" s="4">
        <f t="shared" ca="1" si="5"/>
        <v>1.8991530503912828E-2</v>
      </c>
      <c r="G16" s="4">
        <f t="shared" ca="1" si="5"/>
        <v>5.3960970633047042E-3</v>
      </c>
      <c r="H16" s="8">
        <f t="shared" ca="1" si="0"/>
        <v>1.9039424430370117E-2</v>
      </c>
      <c r="I16" s="4">
        <f t="shared" ca="1" si="6"/>
        <v>1.0584885678296756E-3</v>
      </c>
      <c r="J16" s="4">
        <f t="shared" si="7"/>
        <v>0</v>
      </c>
      <c r="K16" s="8">
        <f t="shared" ca="1" si="2"/>
        <v>1.0048956499099896E-2</v>
      </c>
      <c r="L16" s="8">
        <f t="shared" ca="1" si="8"/>
        <v>1.7980935862540442E-2</v>
      </c>
      <c r="O16" s="2"/>
      <c r="P16" s="2"/>
      <c r="Q16" s="2"/>
      <c r="R16" s="2"/>
      <c r="S16" s="2"/>
    </row>
    <row r="17" spans="1:19" x14ac:dyDescent="0.4">
      <c r="A17" s="5">
        <v>5</v>
      </c>
      <c r="B17" s="4">
        <f t="shared" si="3"/>
        <v>0.5</v>
      </c>
      <c r="C17" s="4">
        <v>10</v>
      </c>
      <c r="D17" s="8">
        <f t="shared" ca="1" si="1"/>
        <v>9.9672626891467377</v>
      </c>
      <c r="E17" s="4">
        <f t="shared" ca="1" si="4"/>
        <v>-5.1728841357175086E-2</v>
      </c>
      <c r="F17" s="4">
        <f t="shared" ca="1" si="5"/>
        <v>1.3818646368195318E-2</v>
      </c>
      <c r="G17" s="4">
        <f t="shared" ca="1" si="5"/>
        <v>6.7779617001242362E-3</v>
      </c>
      <c r="H17" s="8">
        <f t="shared" ca="1" si="0"/>
        <v>1.6041268773743674E-2</v>
      </c>
      <c r="I17" s="4">
        <f t="shared" ca="1" si="6"/>
        <v>2.8565821540837196E-3</v>
      </c>
      <c r="J17" s="4">
        <f t="shared" si="7"/>
        <v>0</v>
      </c>
      <c r="K17" s="8">
        <f t="shared" ca="1" si="2"/>
        <v>9.448925463913696E-3</v>
      </c>
      <c r="L17" s="8">
        <f t="shared" ca="1" si="8"/>
        <v>1.3184686619659956E-2</v>
      </c>
      <c r="O17" s="2"/>
      <c r="P17" s="2"/>
      <c r="Q17" s="2"/>
      <c r="R17" s="2"/>
      <c r="S17" s="2"/>
    </row>
    <row r="18" spans="1:19" x14ac:dyDescent="0.4">
      <c r="A18" s="5">
        <v>6</v>
      </c>
      <c r="B18" s="4">
        <f t="shared" si="3"/>
        <v>0.60000000000000009</v>
      </c>
      <c r="C18" s="4">
        <v>10</v>
      </c>
      <c r="D18" s="8">
        <f t="shared" ca="1" si="1"/>
        <v>10.039252152567659</v>
      </c>
      <c r="E18" s="4">
        <f t="shared" ca="1" si="4"/>
        <v>2.5433506199463919E-2</v>
      </c>
      <c r="F18" s="4">
        <f t="shared" ca="1" si="5"/>
        <v>1.6361996988141711E-2</v>
      </c>
      <c r="G18" s="4">
        <f t="shared" ca="1" si="5"/>
        <v>8.4141613989384065E-3</v>
      </c>
      <c r="H18" s="8">
        <f t="shared" ca="1" si="0"/>
        <v>-1.5633896895766736E-3</v>
      </c>
      <c r="I18" s="4">
        <f t="shared" ca="1" si="6"/>
        <v>4.1750508160497152E-3</v>
      </c>
      <c r="J18" s="4">
        <f t="shared" si="7"/>
        <v>0</v>
      </c>
      <c r="K18" s="8">
        <f t="shared" ca="1" si="2"/>
        <v>1.3058305632365208E-3</v>
      </c>
      <c r="L18" s="8">
        <f t="shared" ca="1" si="8"/>
        <v>-5.7384405056263889E-3</v>
      </c>
      <c r="O18" s="2"/>
    </row>
    <row r="19" spans="1:19" x14ac:dyDescent="0.4">
      <c r="A19" s="5">
        <v>7</v>
      </c>
      <c r="B19" s="4">
        <f t="shared" si="3"/>
        <v>0.70000000000000007</v>
      </c>
      <c r="C19" s="4">
        <v>10</v>
      </c>
      <c r="D19" s="8">
        <f t="shared" ca="1" si="1"/>
        <v>10.086749188709641</v>
      </c>
      <c r="E19" s="4">
        <f t="shared" ca="1" si="4"/>
        <v>7.0387191721499279E-2</v>
      </c>
      <c r="F19" s="4">
        <f t="shared" ca="1" si="5"/>
        <v>2.340071616029164E-2</v>
      </c>
      <c r="G19" s="4">
        <f t="shared" ca="1" si="5"/>
        <v>1.0754233014967571E-2</v>
      </c>
      <c r="H19" s="8">
        <f t="shared" ca="1" si="0"/>
        <v>2.9099444535668931E-2</v>
      </c>
      <c r="I19" s="4">
        <f t="shared" ca="1" si="6"/>
        <v>3.6012067654870765E-3</v>
      </c>
      <c r="J19" s="4">
        <f t="shared" si="7"/>
        <v>0</v>
      </c>
      <c r="K19" s="8">
        <f t="shared" ca="1" si="2"/>
        <v>1.6350325650578004E-2</v>
      </c>
      <c r="L19" s="8">
        <f t="shared" ca="1" si="8"/>
        <v>2.5498237770181856E-2</v>
      </c>
      <c r="O19" s="2"/>
    </row>
    <row r="20" spans="1:19" x14ac:dyDescent="0.4">
      <c r="A20" s="5">
        <v>8</v>
      </c>
      <c r="B20" s="4">
        <f t="shared" si="3"/>
        <v>0.8</v>
      </c>
      <c r="C20" s="4">
        <v>10</v>
      </c>
      <c r="D20" s="8">
        <f t="shared" ca="1" si="1"/>
        <v>10.112928500307328</v>
      </c>
      <c r="E20" s="4">
        <f t="shared" ca="1" si="4"/>
        <v>8.9527784147036507E-2</v>
      </c>
      <c r="F20" s="4">
        <f t="shared" ca="1" si="5"/>
        <v>3.2353494574995291E-2</v>
      </c>
      <c r="G20" s="4">
        <f t="shared" ca="1" si="5"/>
        <v>1.3989582472467101E-2</v>
      </c>
      <c r="H20" s="8">
        <f t="shared" ca="1" si="0"/>
        <v>3.1855173888642174E-2</v>
      </c>
      <c r="I20" s="4">
        <f t="shared" ca="1" si="6"/>
        <v>6.1510305425052621E-3</v>
      </c>
      <c r="J20" s="4">
        <f t="shared" si="7"/>
        <v>0</v>
      </c>
      <c r="K20" s="8">
        <f t="shared" ca="1" si="2"/>
        <v>1.9003102215573719E-2</v>
      </c>
      <c r="L20" s="8">
        <f t="shared" ca="1" si="8"/>
        <v>2.5704143346136913E-2</v>
      </c>
      <c r="O20" s="2"/>
    </row>
    <row r="21" spans="1:19" x14ac:dyDescent="0.4">
      <c r="A21" s="5">
        <v>9</v>
      </c>
      <c r="B21" s="4">
        <f t="shared" si="3"/>
        <v>0.9</v>
      </c>
      <c r="C21" s="4">
        <v>10</v>
      </c>
      <c r="D21" s="8">
        <f t="shared" ca="1" si="1"/>
        <v>10.006303138061426</v>
      </c>
      <c r="E21" s="4">
        <f t="shared" ca="1" si="4"/>
        <v>-2.6050356513569052E-2</v>
      </c>
      <c r="F21" s="4">
        <f t="shared" ca="1" si="5"/>
        <v>2.9748458923638386E-2</v>
      </c>
      <c r="G21" s="4">
        <f t="shared" ca="1" si="5"/>
        <v>1.696442836483094E-2</v>
      </c>
      <c r="H21" s="8">
        <f t="shared" ca="1" si="0"/>
        <v>-9.5382378941770429E-3</v>
      </c>
      <c r="I21" s="4">
        <f t="shared" ca="1" si="6"/>
        <v>8.7214448771189539E-3</v>
      </c>
      <c r="J21" s="4">
        <f t="shared" si="7"/>
        <v>0</v>
      </c>
      <c r="K21" s="8">
        <f t="shared" ca="1" si="2"/>
        <v>-4.0839650852904537E-4</v>
      </c>
      <c r="L21" s="8">
        <f t="shared" ca="1" si="8"/>
        <v>-1.8259682771295999E-2</v>
      </c>
      <c r="O21" s="2"/>
    </row>
    <row r="22" spans="1:19" x14ac:dyDescent="0.4">
      <c r="A22" s="5">
        <v>10</v>
      </c>
      <c r="B22" s="4">
        <f t="shared" si="3"/>
        <v>1</v>
      </c>
      <c r="C22" s="4">
        <v>10</v>
      </c>
      <c r="D22" s="8">
        <f t="shared" ca="1" si="1"/>
        <v>9.9708047632016577</v>
      </c>
      <c r="E22" s="4">
        <f t="shared" ca="1" si="4"/>
        <v>-5.8943695721980736E-2</v>
      </c>
      <c r="F22" s="4">
        <f t="shared" ca="1" si="5"/>
        <v>2.3854089351440313E-2</v>
      </c>
      <c r="G22" s="4">
        <f t="shared" ca="1" si="5"/>
        <v>1.934983729997497E-2</v>
      </c>
      <c r="H22" s="8">
        <f t="shared" ca="1" si="0"/>
        <v>2.637079741207312E-2</v>
      </c>
      <c r="I22" s="4">
        <f t="shared" ca="1" si="6"/>
        <v>6.8954765999893544E-3</v>
      </c>
      <c r="J22" s="4">
        <f t="shared" si="7"/>
        <v>0</v>
      </c>
      <c r="K22" s="8">
        <f t="shared" ca="1" si="2"/>
        <v>1.6633137006031237E-2</v>
      </c>
      <c r="L22" s="8">
        <f t="shared" ca="1" si="8"/>
        <v>1.9475320812083766E-2</v>
      </c>
    </row>
    <row r="23" spans="1:19" x14ac:dyDescent="0.4">
      <c r="A23" s="5">
        <v>11</v>
      </c>
      <c r="B23" s="4">
        <f t="shared" si="3"/>
        <v>1.1000000000000001</v>
      </c>
      <c r="C23" s="4">
        <v>10</v>
      </c>
      <c r="D23" s="8">
        <f t="shared" ca="1" si="1"/>
        <v>10.028788485568887</v>
      </c>
      <c r="E23" s="4">
        <f t="shared" ca="1" si="4"/>
        <v>4.9343962174465995E-3</v>
      </c>
      <c r="F23" s="4">
        <f t="shared" ca="1" si="5"/>
        <v>2.4347528973184974E-2</v>
      </c>
      <c r="G23" s="4">
        <f t="shared" ca="1" si="5"/>
        <v>2.1784590197293466E-2</v>
      </c>
      <c r="H23" s="8">
        <f t="shared" ca="1" si="0"/>
        <v>3.2193220531753976E-2</v>
      </c>
      <c r="I23" s="4">
        <f t="shared" ca="1" si="6"/>
        <v>8.8430086811977313E-3</v>
      </c>
      <c r="J23" s="4">
        <f t="shared" si="7"/>
        <v>0</v>
      </c>
      <c r="K23" s="8">
        <f t="shared" ca="1" si="2"/>
        <v>2.0518114606475853E-2</v>
      </c>
      <c r="L23" s="8">
        <f t="shared" ca="1" si="8"/>
        <v>2.3350211850556243E-2</v>
      </c>
    </row>
    <row r="24" spans="1:19" x14ac:dyDescent="0.4">
      <c r="A24" s="5">
        <v>12</v>
      </c>
      <c r="B24" s="4">
        <f t="shared" si="3"/>
        <v>1.2000000000000002</v>
      </c>
      <c r="C24" s="4">
        <v>10</v>
      </c>
      <c r="D24" s="8">
        <f t="shared" ca="1" si="1"/>
        <v>10.035934439636176</v>
      </c>
      <c r="E24" s="4">
        <f t="shared" ca="1" si="4"/>
        <v>1.1586910662990623E-2</v>
      </c>
      <c r="F24" s="4">
        <f t="shared" ca="1" si="5"/>
        <v>2.5506220039484037E-2</v>
      </c>
      <c r="G24" s="4">
        <f t="shared" ca="1" si="5"/>
        <v>2.4335212201241869E-2</v>
      </c>
      <c r="H24" s="8">
        <f t="shared" ca="1" si="0"/>
        <v>2.2299484704082981E-2</v>
      </c>
      <c r="I24" s="4">
        <f t="shared" ca="1" si="6"/>
        <v>1.1178029866253356E-2</v>
      </c>
      <c r="J24" s="4">
        <f t="shared" si="7"/>
        <v>0</v>
      </c>
      <c r="K24" s="8">
        <f t="shared" ca="1" si="2"/>
        <v>1.6738757285168167E-2</v>
      </c>
      <c r="L24" s="8">
        <f t="shared" ca="1" si="8"/>
        <v>1.1121454837829623E-2</v>
      </c>
    </row>
    <row r="25" spans="1:19" x14ac:dyDescent="0.4">
      <c r="A25" s="5">
        <v>13</v>
      </c>
      <c r="B25" s="4">
        <f t="shared" si="3"/>
        <v>1.3</v>
      </c>
      <c r="C25" s="4">
        <v>10</v>
      </c>
      <c r="D25" s="8">
        <f t="shared" ca="1" si="1"/>
        <v>10.174029386638358</v>
      </c>
      <c r="E25" s="4">
        <f t="shared" ca="1" si="4"/>
        <v>0.14852316659887371</v>
      </c>
      <c r="F25" s="4">
        <f t="shared" ca="1" si="5"/>
        <v>4.0358536699371408E-2</v>
      </c>
      <c r="G25" s="4">
        <f t="shared" ca="1" si="5"/>
        <v>2.8371065871179012E-2</v>
      </c>
      <c r="H25" s="8">
        <f t="shared" ca="1" si="0"/>
        <v>2.6778799834884449E-2</v>
      </c>
      <c r="I25" s="4">
        <f t="shared" ca="1" si="6"/>
        <v>1.2290175350036318E-2</v>
      </c>
      <c r="J25" s="4">
        <f t="shared" si="7"/>
        <v>0</v>
      </c>
      <c r="K25" s="8">
        <f t="shared" ca="1" si="2"/>
        <v>1.9534487592460383E-2</v>
      </c>
      <c r="L25" s="8">
        <f t="shared" ca="1" si="8"/>
        <v>1.4488624484848131E-2</v>
      </c>
    </row>
    <row r="26" spans="1:19" x14ac:dyDescent="0.4">
      <c r="A26" s="5">
        <v>14</v>
      </c>
      <c r="B26" s="4">
        <f t="shared" si="3"/>
        <v>1.4000000000000001</v>
      </c>
      <c r="C26" s="4">
        <v>10</v>
      </c>
      <c r="D26" s="8">
        <f t="shared" ca="1" si="1"/>
        <v>10.140461312199346</v>
      </c>
      <c r="E26" s="4">
        <f t="shared" ca="1" si="4"/>
        <v>0.10010277549997425</v>
      </c>
      <c r="F26" s="4">
        <f t="shared" ca="1" si="5"/>
        <v>5.0368814249368836E-2</v>
      </c>
      <c r="G26" s="4">
        <f t="shared" ca="1" si="5"/>
        <v>3.3407947296115896E-2</v>
      </c>
      <c r="H26" s="8">
        <f t="shared" ca="1" si="0"/>
        <v>3.5567688811482506E-2</v>
      </c>
      <c r="I26" s="4">
        <f t="shared" ca="1" si="6"/>
        <v>1.373903779852113E-2</v>
      </c>
      <c r="J26" s="4">
        <f t="shared" si="7"/>
        <v>0</v>
      </c>
      <c r="K26" s="8">
        <f t="shared" ca="1" si="2"/>
        <v>2.465336330500182E-2</v>
      </c>
      <c r="L26" s="8">
        <f t="shared" ca="1" si="8"/>
        <v>2.1828651012961376E-2</v>
      </c>
    </row>
    <row r="27" spans="1:19" x14ac:dyDescent="0.4">
      <c r="A27" s="5">
        <v>15</v>
      </c>
      <c r="B27" s="4">
        <f t="shared" si="3"/>
        <v>1.5</v>
      </c>
      <c r="C27" s="4">
        <v>10</v>
      </c>
      <c r="D27" s="8">
        <f t="shared" ca="1" si="1"/>
        <v>10.082547680230304</v>
      </c>
      <c r="E27" s="4">
        <f t="shared" ca="1" si="4"/>
        <v>3.2178865980935174E-2</v>
      </c>
      <c r="F27" s="4">
        <f t="shared" ca="1" si="5"/>
        <v>5.3586700847462351E-2</v>
      </c>
      <c r="G27" s="4">
        <f t="shared" ca="1" si="5"/>
        <v>3.876661738086213E-2</v>
      </c>
      <c r="H27" s="8">
        <f t="shared" ca="1" si="0"/>
        <v>3.5692724309834736E-2</v>
      </c>
      <c r="I27" s="4">
        <f t="shared" ca="1" si="6"/>
        <v>1.5921902899817268E-2</v>
      </c>
      <c r="J27" s="4">
        <f t="shared" si="7"/>
        <v>0</v>
      </c>
      <c r="K27" s="8">
        <f t="shared" ca="1" si="2"/>
        <v>2.5807313604826E-2</v>
      </c>
      <c r="L27" s="8">
        <f t="shared" ca="1" si="8"/>
        <v>1.9770821410017469E-2</v>
      </c>
    </row>
    <row r="28" spans="1:19" x14ac:dyDescent="0.4">
      <c r="A28" s="5">
        <v>16</v>
      </c>
      <c r="B28" s="4">
        <f t="shared" si="3"/>
        <v>1.6</v>
      </c>
      <c r="C28" s="4">
        <v>10</v>
      </c>
      <c r="D28" s="8">
        <f t="shared" ca="1" si="1"/>
        <v>10.007763603075725</v>
      </c>
      <c r="E28" s="4">
        <f t="shared" ca="1" si="4"/>
        <v>-4.5823097771737251E-2</v>
      </c>
      <c r="F28" s="4">
        <f t="shared" ca="1" si="5"/>
        <v>4.9004391070288623E-2</v>
      </c>
      <c r="G28" s="4">
        <f t="shared" ca="1" si="5"/>
        <v>4.3667056487890994E-2</v>
      </c>
      <c r="H28" s="8">
        <f t="shared" ca="1" si="0"/>
        <v>4.4596918679811352E-2</v>
      </c>
      <c r="I28" s="4">
        <f t="shared" ca="1" si="6"/>
        <v>1.7898985040819014E-2</v>
      </c>
      <c r="J28" s="4">
        <f t="shared" si="7"/>
        <v>0</v>
      </c>
      <c r="K28" s="8">
        <f t="shared" ca="1" si="2"/>
        <v>3.1247951860315183E-2</v>
      </c>
      <c r="L28" s="8">
        <f t="shared" ca="1" si="8"/>
        <v>2.6697933638992338E-2</v>
      </c>
    </row>
    <row r="29" spans="1:19" x14ac:dyDescent="0.4">
      <c r="A29" s="5">
        <v>17</v>
      </c>
      <c r="B29" s="4">
        <f t="shared" si="3"/>
        <v>1.7000000000000002</v>
      </c>
      <c r="C29" s="4">
        <v>10</v>
      </c>
      <c r="D29" s="8">
        <f t="shared" ca="1" si="1"/>
        <v>10.04168574718744</v>
      </c>
      <c r="E29" s="4">
        <f t="shared" ca="1" si="4"/>
        <v>-7.3186438828485093E-3</v>
      </c>
      <c r="F29" s="4">
        <f t="shared" ca="1" si="5"/>
        <v>4.8272526682003769E-2</v>
      </c>
      <c r="G29" s="4">
        <f t="shared" ca="1" si="5"/>
        <v>4.8494309156091375E-2</v>
      </c>
      <c r="H29" s="8">
        <f t="shared" ca="1" si="0"/>
        <v>5.5348283953165579E-2</v>
      </c>
      <c r="I29" s="4">
        <f t="shared" ca="1" si="6"/>
        <v>2.0568778404718248E-2</v>
      </c>
      <c r="J29" s="4">
        <f t="shared" si="7"/>
        <v>0</v>
      </c>
      <c r="K29" s="8">
        <f t="shared" ca="1" si="2"/>
        <v>3.7958531178941914E-2</v>
      </c>
      <c r="L29" s="8">
        <f t="shared" ca="1" si="8"/>
        <v>3.4779505548447331E-2</v>
      </c>
    </row>
    <row r="30" spans="1:19" x14ac:dyDescent="0.4">
      <c r="A30" s="5">
        <v>18</v>
      </c>
      <c r="B30" s="4">
        <f t="shared" si="3"/>
        <v>1.8</v>
      </c>
      <c r="C30" s="4">
        <v>10</v>
      </c>
      <c r="D30" s="8">
        <f t="shared" ca="1" si="1"/>
        <v>9.8762292355442192</v>
      </c>
      <c r="E30" s="4">
        <f t="shared" ca="1" si="4"/>
        <v>-0.1720432911377846</v>
      </c>
      <c r="F30" s="4">
        <f t="shared" ref="F30:G45" ca="1" si="9">F29+E30*$E$2</f>
        <v>3.1068197568225309E-2</v>
      </c>
      <c r="G30" s="4">
        <f t="shared" ca="1" si="9"/>
        <v>5.1601128912913907E-2</v>
      </c>
      <c r="H30" s="8">
        <f t="shared" ca="1" si="0"/>
        <v>3.6736290139966141E-2</v>
      </c>
      <c r="I30" s="4">
        <f t="shared" ca="1" si="6"/>
        <v>2.4046728959562981E-2</v>
      </c>
      <c r="J30" s="4">
        <f t="shared" si="7"/>
        <v>0</v>
      </c>
      <c r="K30" s="8">
        <f t="shared" ca="1" si="2"/>
        <v>3.0391509549764561E-2</v>
      </c>
      <c r="L30" s="8">
        <f t="shared" ca="1" si="8"/>
        <v>1.2689561180403161E-2</v>
      </c>
    </row>
    <row r="31" spans="1:19" x14ac:dyDescent="0.4">
      <c r="A31" s="5">
        <v>19</v>
      </c>
      <c r="B31" s="4">
        <f t="shared" si="3"/>
        <v>1.9000000000000001</v>
      </c>
      <c r="C31" s="4">
        <v>10</v>
      </c>
      <c r="D31" s="8">
        <f t="shared" ca="1" si="1"/>
        <v>9.9807113998834787</v>
      </c>
      <c r="E31" s="4">
        <f t="shared" ca="1" si="4"/>
        <v>-5.0356797684746643E-2</v>
      </c>
      <c r="F31" s="4">
        <f t="shared" ca="1" si="9"/>
        <v>2.6032517799750646E-2</v>
      </c>
      <c r="G31" s="4">
        <f t="shared" ca="1" si="9"/>
        <v>5.4204380692888972E-2</v>
      </c>
      <c r="H31" s="8">
        <f t="shared" ca="1" si="0"/>
        <v>5.967265073318926E-2</v>
      </c>
      <c r="I31" s="4">
        <f t="shared" ca="1" si="6"/>
        <v>2.5315685077603296E-2</v>
      </c>
      <c r="J31" s="4">
        <f t="shared" si="7"/>
        <v>0</v>
      </c>
      <c r="K31" s="8">
        <f t="shared" ca="1" si="2"/>
        <v>4.2494167905396278E-2</v>
      </c>
      <c r="L31" s="8">
        <f t="shared" ca="1" si="8"/>
        <v>3.4356965655585964E-2</v>
      </c>
    </row>
    <row r="32" spans="1:19" x14ac:dyDescent="0.4">
      <c r="A32" s="5">
        <v>20</v>
      </c>
      <c r="B32" s="4">
        <f t="shared" si="3"/>
        <v>2</v>
      </c>
      <c r="C32" s="4">
        <v>10</v>
      </c>
      <c r="D32" s="8">
        <f t="shared" ca="1" si="1"/>
        <v>10.127488394629998</v>
      </c>
      <c r="E32" s="4">
        <f t="shared" ca="1" si="4"/>
        <v>0.10145587683024697</v>
      </c>
      <c r="F32" s="4">
        <f t="shared" ca="1" si="9"/>
        <v>3.6178105482775343E-2</v>
      </c>
      <c r="G32" s="4">
        <f t="shared" ca="1" si="9"/>
        <v>5.7822191241166505E-2</v>
      </c>
      <c r="H32" s="8">
        <f t="shared" ca="1" si="0"/>
        <v>4.3525010642037246E-2</v>
      </c>
      <c r="I32" s="4">
        <f t="shared" ca="1" si="6"/>
        <v>2.8751381643161891E-2</v>
      </c>
      <c r="J32" s="4">
        <f t="shared" si="7"/>
        <v>0</v>
      </c>
      <c r="K32" s="8">
        <f t="shared" ca="1" si="2"/>
        <v>3.6138196142599568E-2</v>
      </c>
      <c r="L32" s="8">
        <f t="shared" ca="1" si="8"/>
        <v>1.4773628998875354E-2</v>
      </c>
    </row>
    <row r="33" spans="1:12" x14ac:dyDescent="0.4">
      <c r="A33" s="5">
        <v>21</v>
      </c>
      <c r="B33" s="4">
        <f t="shared" si="3"/>
        <v>2.1</v>
      </c>
      <c r="C33" s="4">
        <v>10</v>
      </c>
      <c r="D33" s="8">
        <f t="shared" ca="1" si="1"/>
        <v>9.9348892732001044</v>
      </c>
      <c r="E33" s="4">
        <f t="shared" ca="1" si="4"/>
        <v>-0.10128883228267094</v>
      </c>
      <c r="F33" s="4">
        <f t="shared" ca="1" si="9"/>
        <v>2.6049222254508248E-2</v>
      </c>
      <c r="G33" s="4">
        <f t="shared" ca="1" si="9"/>
        <v>6.0427113466617333E-2</v>
      </c>
      <c r="H33" s="8">
        <f t="shared" ca="1" si="0"/>
        <v>6.2980298712105975E-2</v>
      </c>
      <c r="I33" s="4">
        <f t="shared" ca="1" si="6"/>
        <v>3.0228744543049427E-2</v>
      </c>
      <c r="J33" s="4">
        <f t="shared" si="7"/>
        <v>0</v>
      </c>
      <c r="K33" s="8">
        <f t="shared" ca="1" si="2"/>
        <v>4.6604521627577701E-2</v>
      </c>
      <c r="L33" s="8">
        <f t="shared" ca="1" si="8"/>
        <v>3.2751554169056549E-2</v>
      </c>
    </row>
    <row r="34" spans="1:12" x14ac:dyDescent="0.4">
      <c r="A34" s="5">
        <v>22</v>
      </c>
      <c r="B34" s="4">
        <f t="shared" si="3"/>
        <v>2.2000000000000002</v>
      </c>
      <c r="C34" s="4">
        <v>10</v>
      </c>
      <c r="D34" s="8">
        <f t="shared" ca="1" si="1"/>
        <v>9.8179509895460342</v>
      </c>
      <c r="E34" s="4">
        <f t="shared" ca="1" si="4"/>
        <v>-0.20809823270847408</v>
      </c>
      <c r="F34" s="4">
        <f t="shared" ca="1" si="9"/>
        <v>5.2393989836608396E-3</v>
      </c>
      <c r="G34" s="4">
        <f t="shared" ca="1" si="9"/>
        <v>6.0951053364983417E-2</v>
      </c>
      <c r="H34" s="8">
        <f t="shared" ca="1" si="0"/>
        <v>7.6420592134622128E-2</v>
      </c>
      <c r="I34" s="4">
        <f t="shared" ca="1" si="6"/>
        <v>3.3503899959955084E-2</v>
      </c>
      <c r="J34" s="4">
        <f t="shared" si="7"/>
        <v>0</v>
      </c>
      <c r="K34" s="8">
        <f t="shared" ca="1" si="2"/>
        <v>5.496224604728861E-2</v>
      </c>
      <c r="L34" s="8">
        <f t="shared" ca="1" si="8"/>
        <v>4.2916692174667044E-2</v>
      </c>
    </row>
    <row r="35" spans="1:12" x14ac:dyDescent="0.4">
      <c r="A35" s="5">
        <v>23</v>
      </c>
      <c r="B35" s="4">
        <f t="shared" si="3"/>
        <v>2.3000000000000003</v>
      </c>
      <c r="C35" s="4">
        <v>10</v>
      </c>
      <c r="D35" s="8">
        <f t="shared" ca="1" si="1"/>
        <v>10.049503980050277</v>
      </c>
      <c r="E35" s="4">
        <f t="shared" ca="1" si="4"/>
        <v>4.4264581066616168E-2</v>
      </c>
      <c r="F35" s="4">
        <f t="shared" ca="1" si="9"/>
        <v>9.6658570903224578E-3</v>
      </c>
      <c r="G35" s="4">
        <f t="shared" ca="1" si="9"/>
        <v>6.1917639074015665E-2</v>
      </c>
      <c r="H35" s="8">
        <f t="shared" ca="1" si="0"/>
        <v>6.6216608780051242E-2</v>
      </c>
      <c r="I35" s="4">
        <f t="shared" ca="1" si="6"/>
        <v>3.7795569177421787E-2</v>
      </c>
      <c r="J35" s="4">
        <f t="shared" si="7"/>
        <v>0</v>
      </c>
      <c r="K35" s="8">
        <f t="shared" ca="1" si="2"/>
        <v>5.2006088978736514E-2</v>
      </c>
      <c r="L35" s="8">
        <f t="shared" ca="1" si="8"/>
        <v>2.8421039602629459E-2</v>
      </c>
    </row>
    <row r="36" spans="1:12" x14ac:dyDescent="0.4">
      <c r="A36" s="5">
        <v>24</v>
      </c>
      <c r="B36" s="4">
        <f t="shared" si="3"/>
        <v>2.4000000000000004</v>
      </c>
      <c r="C36" s="4">
        <v>10</v>
      </c>
      <c r="D36" s="8">
        <f t="shared" ca="1" si="1"/>
        <v>9.8668939886690072</v>
      </c>
      <c r="E36" s="4">
        <f t="shared" ca="1" si="4"/>
        <v>-0.14277186842131523</v>
      </c>
      <c r="F36" s="4">
        <f t="shared" ca="1" si="9"/>
        <v>-4.6113297518090655E-3</v>
      </c>
      <c r="G36" s="4">
        <f t="shared" ca="1" si="9"/>
        <v>6.1456506098834761E-2</v>
      </c>
      <c r="H36" s="8">
        <f t="shared" ca="1" si="0"/>
        <v>4.5797076650784432E-2</v>
      </c>
      <c r="I36" s="4">
        <f t="shared" ca="1" si="6"/>
        <v>4.0637673137684731E-2</v>
      </c>
      <c r="J36" s="4">
        <f t="shared" si="7"/>
        <v>0</v>
      </c>
      <c r="K36" s="8">
        <f t="shared" ca="1" si="2"/>
        <v>4.3217374894234578E-2</v>
      </c>
      <c r="L36" s="8">
        <f t="shared" ca="1" si="8"/>
        <v>5.1594035130997015E-3</v>
      </c>
    </row>
    <row r="37" spans="1:12" x14ac:dyDescent="0.4">
      <c r="A37" s="5">
        <v>25</v>
      </c>
      <c r="B37" s="4">
        <f t="shared" si="3"/>
        <v>2.5</v>
      </c>
      <c r="C37" s="4">
        <v>10</v>
      </c>
      <c r="D37" s="8">
        <f t="shared" ca="1" si="1"/>
        <v>9.9621959267657747</v>
      </c>
      <c r="E37" s="4">
        <f t="shared" ca="1" si="4"/>
        <v>-3.3192743482416236E-2</v>
      </c>
      <c r="F37" s="4">
        <f t="shared" ca="1" si="9"/>
        <v>-7.930604100050689E-3</v>
      </c>
      <c r="G37" s="4">
        <f t="shared" ca="1" si="9"/>
        <v>6.0663445688829691E-2</v>
      </c>
      <c r="H37" s="8">
        <f t="shared" ca="1" si="0"/>
        <v>5.2984835468755348E-2</v>
      </c>
      <c r="I37" s="4">
        <f t="shared" ca="1" si="6"/>
        <v>4.1153613488994698E-2</v>
      </c>
      <c r="J37" s="4">
        <f t="shared" si="7"/>
        <v>0</v>
      </c>
      <c r="K37" s="8">
        <f t="shared" ca="1" si="2"/>
        <v>4.7069224478875023E-2</v>
      </c>
      <c r="L37" s="8">
        <f t="shared" ca="1" si="8"/>
        <v>1.1831221979760652E-2</v>
      </c>
    </row>
    <row r="38" spans="1:12" x14ac:dyDescent="0.4">
      <c r="A38" s="5">
        <v>26</v>
      </c>
      <c r="B38" s="4">
        <f t="shared" si="3"/>
        <v>2.6</v>
      </c>
      <c r="C38" s="4">
        <v>10</v>
      </c>
      <c r="D38" s="8">
        <f t="shared" ca="1" si="1"/>
        <v>9.9776972733494489</v>
      </c>
      <c r="E38" s="4">
        <f t="shared" ca="1" si="4"/>
        <v>-1.4372122550500419E-2</v>
      </c>
      <c r="F38" s="4">
        <f t="shared" ca="1" si="9"/>
        <v>-9.3678163551007311E-3</v>
      </c>
      <c r="G38" s="4">
        <f t="shared" ca="1" si="9"/>
        <v>5.9726664053319618E-2</v>
      </c>
      <c r="H38" s="8">
        <f t="shared" ca="1" si="0"/>
        <v>3.8910765379745672E-2</v>
      </c>
      <c r="I38" s="4">
        <f t="shared" ca="1" si="6"/>
        <v>4.2336735686970765E-2</v>
      </c>
      <c r="J38" s="4">
        <f t="shared" si="7"/>
        <v>0</v>
      </c>
      <c r="K38" s="8">
        <f t="shared" ca="1" si="2"/>
        <v>4.0623750533358219E-2</v>
      </c>
      <c r="L38" s="8">
        <f t="shared" ca="1" si="8"/>
        <v>-3.425970307225093E-3</v>
      </c>
    </row>
    <row r="39" spans="1:12" x14ac:dyDescent="0.4">
      <c r="A39" s="5">
        <v>27</v>
      </c>
      <c r="B39" s="4">
        <f t="shared" si="3"/>
        <v>2.7</v>
      </c>
      <c r="C39" s="4">
        <v>10</v>
      </c>
      <c r="D39" s="8">
        <f t="shared" ca="1" si="1"/>
        <v>9.9864573934962273</v>
      </c>
      <c r="E39" s="4">
        <f t="shared" ca="1" si="4"/>
        <v>-4.1747901486719717E-3</v>
      </c>
      <c r="F39" s="4">
        <f t="shared" ca="1" si="9"/>
        <v>-9.785295369967929E-3</v>
      </c>
      <c r="G39" s="4">
        <f t="shared" ca="1" si="9"/>
        <v>5.8748134516322825E-2</v>
      </c>
      <c r="H39" s="8">
        <f t="shared" ca="1" si="0"/>
        <v>4.8557402930382951E-2</v>
      </c>
      <c r="I39" s="4">
        <f t="shared" ca="1" si="6"/>
        <v>4.1994138656248257E-2</v>
      </c>
      <c r="J39" s="4">
        <f t="shared" si="7"/>
        <v>0</v>
      </c>
      <c r="K39" s="8">
        <f t="shared" ca="1" si="2"/>
        <v>4.5275770793315601E-2</v>
      </c>
      <c r="L39" s="8">
        <f t="shared" ca="1" si="8"/>
        <v>6.5632642741346933E-3</v>
      </c>
    </row>
    <row r="40" spans="1:12" x14ac:dyDescent="0.4">
      <c r="A40" s="5">
        <v>28</v>
      </c>
      <c r="B40" s="4">
        <f t="shared" si="3"/>
        <v>2.8000000000000003</v>
      </c>
      <c r="C40" s="4">
        <v>10</v>
      </c>
      <c r="D40" s="8">
        <f t="shared" ca="1" si="1"/>
        <v>10.055867475983284</v>
      </c>
      <c r="E40" s="4">
        <f t="shared" ca="1" si="4"/>
        <v>6.565277135325194E-2</v>
      </c>
      <c r="F40" s="4">
        <f t="shared" ca="1" si="9"/>
        <v>-3.2200182346427348E-3</v>
      </c>
      <c r="G40" s="4">
        <f t="shared" ca="1" si="9"/>
        <v>5.8426132692858554E-2</v>
      </c>
      <c r="H40" s="8">
        <f t="shared" ca="1" si="0"/>
        <v>5.4231506489791192E-2</v>
      </c>
      <c r="I40" s="4">
        <f t="shared" ca="1" si="6"/>
        <v>4.2650465083661729E-2</v>
      </c>
      <c r="J40" s="4">
        <f t="shared" si="7"/>
        <v>0</v>
      </c>
      <c r="K40" s="8">
        <f t="shared" ca="1" si="2"/>
        <v>4.8440985786726461E-2</v>
      </c>
      <c r="L40" s="8">
        <f t="shared" ca="1" si="8"/>
        <v>1.1581041406129464E-2</v>
      </c>
    </row>
    <row r="41" spans="1:12" x14ac:dyDescent="0.4">
      <c r="A41" s="5">
        <v>29</v>
      </c>
      <c r="B41" s="4">
        <f t="shared" si="3"/>
        <v>2.9000000000000004</v>
      </c>
      <c r="C41" s="4">
        <v>10</v>
      </c>
      <c r="D41" s="8">
        <f t="shared" ca="1" si="1"/>
        <v>9.8894507766937298</v>
      </c>
      <c r="E41" s="4">
        <f t="shared" ca="1" si="4"/>
        <v>-0.10732920507162741</v>
      </c>
      <c r="F41" s="4">
        <f t="shared" ca="1" si="9"/>
        <v>-1.3952938741805476E-2</v>
      </c>
      <c r="G41" s="4">
        <f t="shared" ca="1" si="9"/>
        <v>5.7030838818678008E-2</v>
      </c>
      <c r="H41" s="8">
        <f t="shared" ca="1" si="0"/>
        <v>6.6655012395716348E-2</v>
      </c>
      <c r="I41" s="4">
        <f t="shared" ca="1" si="6"/>
        <v>4.3808569224274674E-2</v>
      </c>
      <c r="J41" s="4">
        <f t="shared" si="7"/>
        <v>0</v>
      </c>
      <c r="K41" s="8">
        <f t="shared" ca="1" si="2"/>
        <v>5.5231790809995511E-2</v>
      </c>
      <c r="L41" s="8">
        <f t="shared" ca="1" si="8"/>
        <v>2.2846443171441674E-2</v>
      </c>
    </row>
    <row r="42" spans="1:12" x14ac:dyDescent="0.4">
      <c r="A42" s="5">
        <v>30</v>
      </c>
      <c r="B42" s="4">
        <f t="shared" si="3"/>
        <v>3</v>
      </c>
      <c r="C42" s="4">
        <v>10</v>
      </c>
      <c r="D42" s="8">
        <f t="shared" ca="1" si="1"/>
        <v>9.9566793924192751</v>
      </c>
      <c r="E42" s="4">
        <f t="shared" ca="1" si="4"/>
        <v>-2.9367668838919392E-2</v>
      </c>
      <c r="F42" s="4">
        <f t="shared" ca="1" si="9"/>
        <v>-1.6889705625697415E-2</v>
      </c>
      <c r="G42" s="4">
        <f t="shared" ca="1" si="9"/>
        <v>5.5341868256108269E-2</v>
      </c>
      <c r="H42" s="8">
        <f t="shared" ca="1" si="0"/>
        <v>6.643206757662673E-2</v>
      </c>
      <c r="I42" s="4">
        <f t="shared" ca="1" si="6"/>
        <v>4.6093213541418841E-2</v>
      </c>
      <c r="J42" s="4">
        <f t="shared" si="7"/>
        <v>0</v>
      </c>
      <c r="K42" s="8">
        <f t="shared" ca="1" si="2"/>
        <v>5.6262640559022789E-2</v>
      </c>
      <c r="L42" s="8">
        <f t="shared" ca="1" si="8"/>
        <v>2.0338854035207889E-2</v>
      </c>
    </row>
    <row r="43" spans="1:12" x14ac:dyDescent="0.4">
      <c r="A43" s="5">
        <v>31</v>
      </c>
      <c r="B43" s="4">
        <f t="shared" si="3"/>
        <v>3.1</v>
      </c>
      <c r="C43" s="4">
        <v>10</v>
      </c>
      <c r="D43" s="8">
        <f t="shared" ca="1" si="1"/>
        <v>9.9398064386237621</v>
      </c>
      <c r="E43" s="4">
        <f t="shared" ca="1" si="4"/>
        <v>-4.3303855750540465E-2</v>
      </c>
      <c r="F43" s="4">
        <f t="shared" ca="1" si="9"/>
        <v>-2.1220091200751461E-2</v>
      </c>
      <c r="G43" s="4">
        <f t="shared" ca="1" si="9"/>
        <v>5.3219859136033124E-2</v>
      </c>
      <c r="H43" s="8">
        <f t="shared" ca="1" si="0"/>
        <v>5.4799331999877778E-2</v>
      </c>
      <c r="I43" s="4">
        <f t="shared" ca="1" si="6"/>
        <v>4.8127098944939634E-2</v>
      </c>
      <c r="J43" s="4">
        <f t="shared" si="7"/>
        <v>0</v>
      </c>
      <c r="K43" s="8">
        <f t="shared" ca="1" si="2"/>
        <v>5.1463215472408702E-2</v>
      </c>
      <c r="L43" s="8">
        <f t="shared" ca="1" si="8"/>
        <v>6.6722330549381448E-3</v>
      </c>
    </row>
    <row r="44" spans="1:12" x14ac:dyDescent="0.4">
      <c r="A44" s="5">
        <v>32</v>
      </c>
      <c r="B44" s="4">
        <f t="shared" si="3"/>
        <v>3.2</v>
      </c>
      <c r="C44" s="4">
        <v>10</v>
      </c>
      <c r="D44" s="8">
        <f t="shared" ca="1" si="1"/>
        <v>10.061446575684686</v>
      </c>
      <c r="E44" s="4">
        <f t="shared" ca="1" si="4"/>
        <v>8.2666666885437279E-2</v>
      </c>
      <c r="F44" s="4">
        <f t="shared" ca="1" si="9"/>
        <v>-1.2953424512207733E-2</v>
      </c>
      <c r="G44" s="4">
        <f t="shared" ca="1" si="9"/>
        <v>5.192451668481235E-2</v>
      </c>
      <c r="H44" s="8">
        <f t="shared" ca="1" si="0"/>
        <v>4.7992539845359131E-2</v>
      </c>
      <c r="I44" s="4">
        <f t="shared" ca="1" si="6"/>
        <v>4.8794322250433446E-2</v>
      </c>
      <c r="J44" s="4">
        <f t="shared" si="7"/>
        <v>0</v>
      </c>
      <c r="K44" s="8">
        <f t="shared" ca="1" si="2"/>
        <v>4.8393431047896285E-2</v>
      </c>
      <c r="L44" s="8">
        <f t="shared" ca="1" si="8"/>
        <v>-8.0178240507431525E-4</v>
      </c>
    </row>
    <row r="45" spans="1:12" x14ac:dyDescent="0.4">
      <c r="A45" s="5">
        <v>33</v>
      </c>
      <c r="B45" s="4">
        <f t="shared" si="3"/>
        <v>3.3000000000000003</v>
      </c>
      <c r="C45" s="4">
        <v>10</v>
      </c>
      <c r="D45" s="8">
        <f t="shared" ca="1" si="1"/>
        <v>9.9592741570481067</v>
      </c>
      <c r="E45" s="4">
        <f t="shared" ca="1" si="4"/>
        <v>-2.7772418439685566E-2</v>
      </c>
      <c r="F45" s="4">
        <f t="shared" ca="1" si="9"/>
        <v>-1.5730666356176291E-2</v>
      </c>
      <c r="G45" s="4">
        <f t="shared" ca="1" si="9"/>
        <v>5.0351450049194724E-2</v>
      </c>
      <c r="H45" s="8">
        <f t="shared" ca="1" si="0"/>
        <v>4.4628595514204589E-2</v>
      </c>
      <c r="I45" s="4">
        <f t="shared" ca="1" si="6"/>
        <v>4.8714144009926012E-2</v>
      </c>
      <c r="J45" s="4">
        <f t="shared" si="7"/>
        <v>0</v>
      </c>
      <c r="K45" s="8">
        <f t="shared" ca="1" si="2"/>
        <v>4.6671369762065304E-2</v>
      </c>
      <c r="L45" s="8">
        <f t="shared" ca="1" si="8"/>
        <v>-4.0855484957214236E-3</v>
      </c>
    </row>
    <row r="46" spans="1:12" x14ac:dyDescent="0.4">
      <c r="A46" s="5">
        <v>34</v>
      </c>
      <c r="B46" s="4">
        <f t="shared" si="3"/>
        <v>3.4000000000000004</v>
      </c>
      <c r="C46" s="4">
        <v>10</v>
      </c>
      <c r="D46" s="8">
        <f t="shared" ca="1" si="1"/>
        <v>9.9347588617863867</v>
      </c>
      <c r="E46" s="4">
        <f t="shared" ca="1" si="4"/>
        <v>-4.9510471857437038E-2</v>
      </c>
      <c r="F46" s="4">
        <f t="shared" ref="F46:G61" ca="1" si="10">F45+E46*$E$2</f>
        <v>-2.0681713541919996E-2</v>
      </c>
      <c r="G46" s="4">
        <f t="shared" ca="1" si="10"/>
        <v>4.8283278695002721E-2</v>
      </c>
      <c r="H46" s="8">
        <f t="shared" ca="1" si="0"/>
        <v>4.5862716042830383E-2</v>
      </c>
      <c r="I46" s="4">
        <f t="shared" ca="1" si="6"/>
        <v>4.8305589160353872E-2</v>
      </c>
      <c r="J46" s="4">
        <f t="shared" si="7"/>
        <v>0</v>
      </c>
      <c r="K46" s="8">
        <f t="shared" ca="1" si="2"/>
        <v>4.7084152601592127E-2</v>
      </c>
      <c r="L46" s="8">
        <f t="shared" ca="1" si="8"/>
        <v>-2.4428731175234891E-3</v>
      </c>
    </row>
    <row r="47" spans="1:12" x14ac:dyDescent="0.4">
      <c r="A47" s="5">
        <v>35</v>
      </c>
      <c r="B47" s="4">
        <f t="shared" si="3"/>
        <v>3.5</v>
      </c>
      <c r="C47" s="4">
        <v>10</v>
      </c>
      <c r="D47" s="8">
        <f t="shared" ca="1" si="1"/>
        <v>10.019198347098301</v>
      </c>
      <c r="E47" s="4">
        <f t="shared" ca="1" si="4"/>
        <v>3.9880060640221482E-2</v>
      </c>
      <c r="F47" s="4">
        <f t="shared" ca="1" si="10"/>
        <v>-1.6693707477897848E-2</v>
      </c>
      <c r="G47" s="4">
        <f t="shared" ca="1" si="10"/>
        <v>4.6613907947212936E-2</v>
      </c>
      <c r="H47" s="8">
        <f t="shared" ca="1" si="0"/>
        <v>5.1702319884074227E-2</v>
      </c>
      <c r="I47" s="4">
        <f t="shared" ca="1" si="6"/>
        <v>4.8061301848601523E-2</v>
      </c>
      <c r="J47" s="4">
        <f t="shared" si="7"/>
        <v>0</v>
      </c>
      <c r="K47" s="8">
        <f t="shared" ca="1" si="2"/>
        <v>4.9881810866337875E-2</v>
      </c>
      <c r="L47" s="8">
        <f t="shared" ca="1" si="8"/>
        <v>3.641018035472704E-3</v>
      </c>
    </row>
    <row r="48" spans="1:12" x14ac:dyDescent="0.4">
      <c r="A48" s="5">
        <v>36</v>
      </c>
      <c r="B48" s="4">
        <f t="shared" si="3"/>
        <v>3.6</v>
      </c>
      <c r="C48" s="4">
        <v>10</v>
      </c>
      <c r="D48" s="8">
        <f t="shared" ca="1" si="1"/>
        <v>10.146349016677318</v>
      </c>
      <c r="E48" s="4">
        <f t="shared" ca="1" si="4"/>
        <v>0.16304272415521587</v>
      </c>
      <c r="F48" s="4">
        <f t="shared" ca="1" si="10"/>
        <v>-3.8943506237626088E-4</v>
      </c>
      <c r="G48" s="4">
        <f t="shared" ca="1" si="10"/>
        <v>4.6574964440975308E-2</v>
      </c>
      <c r="H48" s="8">
        <f t="shared" ca="1" si="0"/>
        <v>3.9566439923095005E-2</v>
      </c>
      <c r="I48" s="4">
        <f t="shared" ca="1" si="6"/>
        <v>4.8425403652148792E-2</v>
      </c>
      <c r="J48" s="4">
        <f t="shared" si="7"/>
        <v>0</v>
      </c>
      <c r="K48" s="8">
        <f t="shared" ca="1" si="2"/>
        <v>4.3995921787621899E-2</v>
      </c>
      <c r="L48" s="8">
        <f t="shared" ca="1" si="8"/>
        <v>-8.858963729053787E-3</v>
      </c>
    </row>
    <row r="49" spans="1:12" x14ac:dyDescent="0.4">
      <c r="A49" s="5">
        <v>37</v>
      </c>
      <c r="B49" s="4">
        <f t="shared" si="3"/>
        <v>3.7</v>
      </c>
      <c r="C49" s="4">
        <v>10</v>
      </c>
      <c r="D49" s="8">
        <f t="shared" ca="1" si="1"/>
        <v>9.8434235118877265</v>
      </c>
      <c r="E49" s="4">
        <f t="shared" ca="1" si="4"/>
        <v>-0.15618705304989727</v>
      </c>
      <c r="F49" s="4">
        <f t="shared" ca="1" si="10"/>
        <v>-1.6008140367365989E-2</v>
      </c>
      <c r="G49" s="4">
        <f t="shared" ca="1" si="10"/>
        <v>4.4974150404238709E-2</v>
      </c>
      <c r="H49" s="8">
        <f t="shared" ca="1" si="0"/>
        <v>6.4562811256261191E-2</v>
      </c>
      <c r="I49" s="4">
        <f t="shared" ca="1" si="6"/>
        <v>4.7539507279243415E-2</v>
      </c>
      <c r="J49" s="4">
        <f t="shared" si="7"/>
        <v>0</v>
      </c>
      <c r="K49" s="8">
        <f t="shared" ca="1" si="2"/>
        <v>5.6051159267752303E-2</v>
      </c>
      <c r="L49" s="8">
        <f t="shared" ca="1" si="8"/>
        <v>1.7023303977017776E-2</v>
      </c>
    </row>
    <row r="50" spans="1:12" x14ac:dyDescent="0.4">
      <c r="A50" s="5">
        <v>38</v>
      </c>
      <c r="B50" s="4">
        <f t="shared" si="3"/>
        <v>3.8000000000000003</v>
      </c>
      <c r="C50" s="4">
        <v>10</v>
      </c>
      <c r="D50" s="8">
        <f t="shared" ca="1" si="1"/>
        <v>9.965476487795538</v>
      </c>
      <c r="E50" s="4">
        <f t="shared" ca="1" si="4"/>
        <v>-1.8515371837096048E-2</v>
      </c>
      <c r="F50" s="4">
        <f t="shared" ca="1" si="10"/>
        <v>-1.7859677551075592E-2</v>
      </c>
      <c r="G50" s="4">
        <f t="shared" ca="1" si="10"/>
        <v>4.318818264913115E-2</v>
      </c>
      <c r="H50" s="8">
        <f t="shared" ca="1" si="0"/>
        <v>2.8905769092307208E-2</v>
      </c>
      <c r="I50" s="4">
        <f t="shared" ca="1" si="6"/>
        <v>4.9241837676945191E-2</v>
      </c>
      <c r="J50" s="4">
        <f t="shared" si="7"/>
        <v>0</v>
      </c>
      <c r="K50" s="8">
        <f t="shared" ca="1" si="2"/>
        <v>3.9073803384626196E-2</v>
      </c>
      <c r="L50" s="8">
        <f t="shared" ca="1" si="8"/>
        <v>-2.0336068584637979E-2</v>
      </c>
    </row>
    <row r="51" spans="1:12" x14ac:dyDescent="0.4">
      <c r="A51" s="5">
        <v>39</v>
      </c>
      <c r="B51" s="4">
        <f t="shared" si="3"/>
        <v>3.9000000000000004</v>
      </c>
      <c r="C51" s="4">
        <v>10</v>
      </c>
      <c r="D51" s="8">
        <f t="shared" ca="1" si="1"/>
        <v>9.942237209686942</v>
      </c>
      <c r="E51" s="4">
        <f t="shared" ca="1" si="4"/>
        <v>-3.9903112761982384E-2</v>
      </c>
      <c r="F51" s="4">
        <f t="shared" ca="1" si="10"/>
        <v>-2.184998882727383E-2</v>
      </c>
      <c r="G51" s="4">
        <f t="shared" ca="1" si="10"/>
        <v>4.1003183766403765E-2</v>
      </c>
      <c r="H51" s="8">
        <f t="shared" ca="1" si="0"/>
        <v>3.1982188294207743E-2</v>
      </c>
      <c r="I51" s="4">
        <f t="shared" ca="1" si="6"/>
        <v>4.7208230818481391E-2</v>
      </c>
      <c r="J51" s="4">
        <f t="shared" si="7"/>
        <v>0</v>
      </c>
      <c r="K51" s="8">
        <f t="shared" ca="1" si="2"/>
        <v>3.9595209556344567E-2</v>
      </c>
      <c r="L51" s="8">
        <f t="shared" ca="1" si="8"/>
        <v>-1.5226042524273649E-2</v>
      </c>
    </row>
    <row r="52" spans="1:12" x14ac:dyDescent="0.4">
      <c r="A52" s="5">
        <v>40</v>
      </c>
      <c r="B52" s="4">
        <f t="shared" si="3"/>
        <v>4</v>
      </c>
      <c r="C52" s="4">
        <v>10</v>
      </c>
      <c r="D52" s="8">
        <f t="shared" ca="1" si="1"/>
        <v>10.016321301926734</v>
      </c>
      <c r="E52" s="4">
        <f t="shared" ca="1" si="4"/>
        <v>3.81712907540077E-2</v>
      </c>
      <c r="F52" s="4">
        <f t="shared" ca="1" si="10"/>
        <v>-1.8032859751873059E-2</v>
      </c>
      <c r="G52" s="4">
        <f t="shared" ca="1" si="10"/>
        <v>3.9199897791216458E-2</v>
      </c>
      <c r="H52" s="8">
        <f t="shared" ca="1" si="0"/>
        <v>3.0890888696140852E-2</v>
      </c>
      <c r="I52" s="4">
        <f t="shared" ca="1" si="6"/>
        <v>4.5685626566054023E-2</v>
      </c>
      <c r="J52" s="4">
        <f t="shared" si="7"/>
        <v>0</v>
      </c>
      <c r="K52" s="8">
        <f t="shared" ca="1" si="2"/>
        <v>3.8288257631097437E-2</v>
      </c>
      <c r="L52" s="8">
        <f t="shared" ca="1" si="8"/>
        <v>-1.4794737869913172E-2</v>
      </c>
    </row>
    <row r="53" spans="1:12" x14ac:dyDescent="0.4">
      <c r="A53" s="5">
        <v>41</v>
      </c>
      <c r="B53" s="4">
        <f t="shared" si="3"/>
        <v>4.1000000000000005</v>
      </c>
      <c r="C53" s="4">
        <v>10</v>
      </c>
      <c r="D53" s="8">
        <f t="shared" ca="1" si="1"/>
        <v>10.017570313146525</v>
      </c>
      <c r="E53" s="4">
        <f t="shared" ca="1" si="4"/>
        <v>3.5603172898397858E-2</v>
      </c>
      <c r="F53" s="4">
        <f t="shared" ca="1" si="10"/>
        <v>-1.4472542462033272E-2</v>
      </c>
      <c r="G53" s="4">
        <f t="shared" ca="1" si="10"/>
        <v>3.7752643545013127E-2</v>
      </c>
      <c r="H53" s="8">
        <f t="shared" ca="1" si="0"/>
        <v>4.2038467222524849E-2</v>
      </c>
      <c r="I53" s="4">
        <f t="shared" ca="1" si="6"/>
        <v>4.4206152779062709E-2</v>
      </c>
      <c r="J53" s="4">
        <f t="shared" si="7"/>
        <v>0</v>
      </c>
      <c r="K53" s="8">
        <f t="shared" ca="1" si="2"/>
        <v>4.3122310000793779E-2</v>
      </c>
      <c r="L53" s="8">
        <f t="shared" ca="1" si="8"/>
        <v>-2.16768555653786E-3</v>
      </c>
    </row>
    <row r="54" spans="1:12" x14ac:dyDescent="0.4">
      <c r="A54" s="5">
        <v>42</v>
      </c>
      <c r="B54" s="4">
        <f t="shared" si="3"/>
        <v>4.2</v>
      </c>
      <c r="C54" s="4">
        <v>10</v>
      </c>
      <c r="D54" s="8">
        <f t="shared" ca="1" si="1"/>
        <v>9.9478617860340091</v>
      </c>
      <c r="E54" s="4">
        <f t="shared" ca="1" si="4"/>
        <v>-3.7665671503957672E-2</v>
      </c>
      <c r="F54" s="4">
        <f t="shared" ca="1" si="10"/>
        <v>-1.8239109612429041E-2</v>
      </c>
      <c r="G54" s="4">
        <f t="shared" ca="1" si="10"/>
        <v>3.5928732583770225E-2</v>
      </c>
      <c r="H54" s="8">
        <f t="shared" ca="1" si="0"/>
        <v>4.6855777448581833E-2</v>
      </c>
      <c r="I54" s="4">
        <f t="shared" ca="1" si="6"/>
        <v>4.3989384223408923E-2</v>
      </c>
      <c r="J54" s="4">
        <f t="shared" si="7"/>
        <v>0</v>
      </c>
      <c r="K54" s="8">
        <f t="shared" ca="1" si="2"/>
        <v>4.5422580835995374E-2</v>
      </c>
      <c r="L54" s="8">
        <f t="shared" ca="1" si="8"/>
        <v>2.8663932251729099E-3</v>
      </c>
    </row>
    <row r="55" spans="1:12" x14ac:dyDescent="0.4">
      <c r="A55" s="5">
        <v>43</v>
      </c>
      <c r="B55" s="4">
        <f t="shared" si="3"/>
        <v>4.3</v>
      </c>
      <c r="C55" s="4">
        <v>10</v>
      </c>
      <c r="D55" s="8">
        <f t="shared" ca="1" si="1"/>
        <v>9.9330244494102899</v>
      </c>
      <c r="E55" s="4">
        <f t="shared" ca="1" si="4"/>
        <v>-4.8736440977281012E-2</v>
      </c>
      <c r="F55" s="4">
        <f t="shared" ca="1" si="10"/>
        <v>-2.3112753710157141E-2</v>
      </c>
      <c r="G55" s="4">
        <f t="shared" ca="1" si="10"/>
        <v>3.3617457212754512E-2</v>
      </c>
      <c r="H55" s="8">
        <f t="shared" ca="1" si="0"/>
        <v>2.4270233240616113E-2</v>
      </c>
      <c r="I55" s="4">
        <f t="shared" ca="1" si="6"/>
        <v>4.4276023545926212E-2</v>
      </c>
      <c r="J55" s="4">
        <f t="shared" si="7"/>
        <v>0</v>
      </c>
      <c r="K55" s="8">
        <f t="shared" ca="1" si="2"/>
        <v>3.4273128393271166E-2</v>
      </c>
      <c r="L55" s="8">
        <f t="shared" ca="1" si="8"/>
        <v>-2.0005790305310099E-2</v>
      </c>
    </row>
    <row r="56" spans="1:12" x14ac:dyDescent="0.4">
      <c r="A56" s="5">
        <v>44</v>
      </c>
      <c r="B56" s="4">
        <f t="shared" si="3"/>
        <v>4.4000000000000004</v>
      </c>
      <c r="C56" s="4">
        <v>10</v>
      </c>
      <c r="D56" s="8">
        <f t="shared" ca="1" si="1"/>
        <v>9.9593978572028981</v>
      </c>
      <c r="E56" s="4">
        <f t="shared" ca="1" si="4"/>
        <v>-1.7489389086944807E-2</v>
      </c>
      <c r="F56" s="4">
        <f t="shared" ca="1" si="10"/>
        <v>-2.486169261885162E-2</v>
      </c>
      <c r="G56" s="4">
        <f t="shared" ca="1" si="10"/>
        <v>3.1131287950869349E-2</v>
      </c>
      <c r="H56" s="8">
        <f t="shared" ca="1" si="0"/>
        <v>3.8164698006350729E-2</v>
      </c>
      <c r="I56" s="4">
        <f t="shared" ca="1" si="6"/>
        <v>4.2275444515395201E-2</v>
      </c>
      <c r="J56" s="4">
        <f t="shared" si="7"/>
        <v>0</v>
      </c>
      <c r="K56" s="8">
        <f t="shared" ca="1" si="2"/>
        <v>4.0220071260872965E-2</v>
      </c>
      <c r="L56" s="8">
        <f t="shared" ca="1" si="8"/>
        <v>-4.1107465090444717E-3</v>
      </c>
    </row>
    <row r="57" spans="1:12" x14ac:dyDescent="0.4">
      <c r="A57" s="5">
        <v>45</v>
      </c>
      <c r="B57" s="4">
        <f t="shared" si="3"/>
        <v>4.5</v>
      </c>
      <c r="C57" s="4">
        <v>10</v>
      </c>
      <c r="D57" s="8">
        <f t="shared" ca="1" si="1"/>
        <v>10.05237070109904</v>
      </c>
      <c r="E57" s="4">
        <f t="shared" ca="1" si="4"/>
        <v>7.723239371789159E-2</v>
      </c>
      <c r="F57" s="4">
        <f t="shared" ca="1" si="10"/>
        <v>-1.7138453247062462E-2</v>
      </c>
      <c r="G57" s="4">
        <f t="shared" ca="1" si="10"/>
        <v>2.9417442626163103E-2</v>
      </c>
      <c r="H57" s="8">
        <f t="shared" ca="1" si="0"/>
        <v>2.1198182506020968E-2</v>
      </c>
      <c r="I57" s="4">
        <f t="shared" ca="1" si="6"/>
        <v>4.1864369864490755E-2</v>
      </c>
      <c r="J57" s="4">
        <f t="shared" si="7"/>
        <v>0</v>
      </c>
      <c r="K57" s="8">
        <f t="shared" ca="1" si="2"/>
        <v>3.1531276185255863E-2</v>
      </c>
      <c r="L57" s="8">
        <f t="shared" ca="1" si="8"/>
        <v>-2.0666187358469788E-2</v>
      </c>
    </row>
    <row r="58" spans="1:12" x14ac:dyDescent="0.4">
      <c r="A58" s="5">
        <v>46</v>
      </c>
      <c r="B58" s="4">
        <f t="shared" si="3"/>
        <v>4.6000000000000005</v>
      </c>
      <c r="C58" s="4">
        <v>10</v>
      </c>
      <c r="D58" s="8">
        <f t="shared" ca="1" si="1"/>
        <v>10.177686102090206</v>
      </c>
      <c r="E58" s="4">
        <f t="shared" ca="1" si="4"/>
        <v>0.19482455533726853</v>
      </c>
      <c r="F58" s="4">
        <f t="shared" ca="1" si="10"/>
        <v>2.3440022866643914E-3</v>
      </c>
      <c r="G58" s="4">
        <f t="shared" ca="1" si="10"/>
        <v>2.9651842854829542E-2</v>
      </c>
      <c r="H58" s="8">
        <f t="shared" ca="1" si="0"/>
        <v>4.0877736684349714E-2</v>
      </c>
      <c r="I58" s="4">
        <f t="shared" ca="1" si="6"/>
        <v>3.9797751128643775E-2</v>
      </c>
      <c r="J58" s="4">
        <f t="shared" si="7"/>
        <v>0</v>
      </c>
      <c r="K58" s="8">
        <f t="shared" ca="1" si="2"/>
        <v>4.0337743906496748E-2</v>
      </c>
      <c r="L58" s="8">
        <f t="shared" ca="1" si="8"/>
        <v>1.0799855557059382E-3</v>
      </c>
    </row>
    <row r="59" spans="1:12" x14ac:dyDescent="0.4">
      <c r="A59" s="5">
        <v>47</v>
      </c>
      <c r="B59" s="4">
        <f t="shared" si="3"/>
        <v>4.7</v>
      </c>
      <c r="C59" s="4">
        <v>10</v>
      </c>
      <c r="D59" s="8">
        <f t="shared" ca="1" si="1"/>
        <v>9.9693167413782113</v>
      </c>
      <c r="E59" s="4">
        <f t="shared" ca="1" si="4"/>
        <v>-3.3027260908453059E-2</v>
      </c>
      <c r="F59" s="4">
        <f t="shared" ca="1" si="10"/>
        <v>-9.5872380418091444E-4</v>
      </c>
      <c r="G59" s="4">
        <f t="shared" ca="1" si="10"/>
        <v>2.9555970474411448E-2</v>
      </c>
      <c r="H59" s="8">
        <f t="shared" ca="1" si="0"/>
        <v>2.9085863586201466E-2</v>
      </c>
      <c r="I59" s="4">
        <f t="shared" ca="1" si="6"/>
        <v>3.990574968421437E-2</v>
      </c>
      <c r="J59" s="4">
        <f t="shared" si="7"/>
        <v>0</v>
      </c>
      <c r="K59" s="8">
        <f t="shared" ca="1" si="2"/>
        <v>3.4495806635207918E-2</v>
      </c>
      <c r="L59" s="8">
        <f t="shared" ca="1" si="8"/>
        <v>-1.0819886098012904E-2</v>
      </c>
    </row>
    <row r="60" spans="1:12" x14ac:dyDescent="0.4">
      <c r="A60" s="5">
        <v>48</v>
      </c>
      <c r="B60" s="4">
        <f t="shared" si="3"/>
        <v>4.8000000000000007</v>
      </c>
      <c r="C60" s="4">
        <v>10</v>
      </c>
      <c r="D60" s="8">
        <f t="shared" ca="1" si="1"/>
        <v>9.9233067630550078</v>
      </c>
      <c r="E60" s="4">
        <f t="shared" ca="1" si="4"/>
        <v>-7.5734513140811283E-2</v>
      </c>
      <c r="F60" s="4">
        <f t="shared" ca="1" si="10"/>
        <v>-8.532175118262042E-3</v>
      </c>
      <c r="G60" s="4">
        <f t="shared" ca="1" si="10"/>
        <v>2.8702752962585246E-2</v>
      </c>
      <c r="H60" s="8">
        <f t="shared" ca="1" si="0"/>
        <v>2.5052737261938893E-2</v>
      </c>
      <c r="I60" s="4">
        <f t="shared" ca="1" si="6"/>
        <v>3.8823761074413078E-2</v>
      </c>
      <c r="J60" s="4">
        <f t="shared" si="7"/>
        <v>0</v>
      </c>
      <c r="K60" s="8">
        <f t="shared" ca="1" si="2"/>
        <v>3.1938249168175989E-2</v>
      </c>
      <c r="L60" s="8">
        <f t="shared" ca="1" si="8"/>
        <v>-1.3771023812474185E-2</v>
      </c>
    </row>
    <row r="61" spans="1:12" x14ac:dyDescent="0.4">
      <c r="A61" s="5">
        <v>49</v>
      </c>
      <c r="B61" s="4">
        <f t="shared" si="3"/>
        <v>4.9000000000000004</v>
      </c>
      <c r="C61" s="4">
        <v>10</v>
      </c>
      <c r="D61" s="8">
        <f t="shared" ca="1" si="1"/>
        <v>9.9257274255204457</v>
      </c>
      <c r="E61" s="4">
        <f t="shared" ca="1" si="4"/>
        <v>-6.5740399361292223E-2</v>
      </c>
      <c r="F61" s="4">
        <f t="shared" ca="1" si="10"/>
        <v>-1.5106215054391265E-2</v>
      </c>
      <c r="G61" s="4">
        <f t="shared" ca="1" si="10"/>
        <v>2.7192131457146121E-2</v>
      </c>
      <c r="H61" s="8">
        <f t="shared" ca="1" si="0"/>
        <v>3.4550474009137591E-2</v>
      </c>
      <c r="I61" s="4">
        <f t="shared" ca="1" si="6"/>
        <v>3.7446658693165658E-2</v>
      </c>
      <c r="J61" s="4">
        <f t="shared" si="7"/>
        <v>0</v>
      </c>
      <c r="K61" s="8">
        <f t="shared" ca="1" si="2"/>
        <v>3.5998566351151624E-2</v>
      </c>
      <c r="L61" s="8">
        <f t="shared" ca="1" si="8"/>
        <v>-2.8961846840280664E-3</v>
      </c>
    </row>
    <row r="62" spans="1:12" x14ac:dyDescent="0.4">
      <c r="A62" s="5">
        <v>50</v>
      </c>
      <c r="B62" s="4">
        <f t="shared" si="3"/>
        <v>5</v>
      </c>
      <c r="C62" s="4">
        <v>10</v>
      </c>
      <c r="D62" s="8">
        <f t="shared" ca="1" si="1"/>
        <v>9.9813542484938118</v>
      </c>
      <c r="E62" s="4">
        <f t="shared" ca="1" si="4"/>
        <v>-3.5395364517969256E-3</v>
      </c>
      <c r="F62" s="4">
        <f t="shared" ref="F62:G77" ca="1" si="11">F61+E62*$E$2</f>
        <v>-1.5460168699570958E-2</v>
      </c>
      <c r="G62" s="4">
        <f t="shared" ca="1" si="11"/>
        <v>2.5646114587189024E-2</v>
      </c>
      <c r="H62" s="8">
        <f t="shared" ca="1" si="0"/>
        <v>3.547846625521367E-2</v>
      </c>
      <c r="I62" s="4">
        <f t="shared" ca="1" si="6"/>
        <v>3.715704022476285E-2</v>
      </c>
      <c r="J62" s="4">
        <f t="shared" si="7"/>
        <v>0</v>
      </c>
      <c r="K62" s="8">
        <f t="shared" ca="1" si="2"/>
        <v>3.631775323998826E-2</v>
      </c>
      <c r="L62" s="8">
        <f t="shared" ca="1" si="8"/>
        <v>-1.6785739695491797E-3</v>
      </c>
    </row>
    <row r="63" spans="1:12" x14ac:dyDescent="0.4">
      <c r="A63" s="5">
        <v>51</v>
      </c>
      <c r="B63" s="4">
        <f t="shared" si="3"/>
        <v>5.1000000000000005</v>
      </c>
      <c r="C63" s="4">
        <v>10</v>
      </c>
      <c r="D63" s="8">
        <f t="shared" ca="1" si="1"/>
        <v>9.9534655007993376</v>
      </c>
      <c r="E63" s="4">
        <f t="shared" ca="1" si="4"/>
        <v>-3.1074330501091478E-2</v>
      </c>
      <c r="F63" s="4">
        <f t="shared" ca="1" si="11"/>
        <v>-1.8567601749680106E-2</v>
      </c>
      <c r="G63" s="4">
        <f t="shared" ca="1" si="11"/>
        <v>2.3789354412221013E-2</v>
      </c>
      <c r="H63" s="8">
        <f t="shared" ca="1" si="0"/>
        <v>2.7655107933620377E-2</v>
      </c>
      <c r="I63" s="4">
        <f t="shared" ca="1" si="6"/>
        <v>3.6989182827807929E-2</v>
      </c>
      <c r="J63" s="4">
        <f t="shared" si="7"/>
        <v>0</v>
      </c>
      <c r="K63" s="8">
        <f t="shared" ca="1" si="2"/>
        <v>3.2322145380714151E-2</v>
      </c>
      <c r="L63" s="8">
        <f t="shared" ca="1" si="8"/>
        <v>-9.3340748941875516E-3</v>
      </c>
    </row>
    <row r="64" spans="1:12" x14ac:dyDescent="0.4">
      <c r="A64" s="5">
        <v>52</v>
      </c>
      <c r="B64" s="4">
        <f t="shared" si="3"/>
        <v>5.2</v>
      </c>
      <c r="C64" s="4">
        <v>10</v>
      </c>
      <c r="D64" s="8">
        <f t="shared" ca="1" si="1"/>
        <v>9.9467347668315078</v>
      </c>
      <c r="E64" s="4">
        <f t="shared" ca="1" si="4"/>
        <v>-3.4697631418812082E-2</v>
      </c>
      <c r="F64" s="4">
        <f t="shared" ca="1" si="11"/>
        <v>-2.2037364891561315E-2</v>
      </c>
      <c r="G64" s="4">
        <f t="shared" ca="1" si="11"/>
        <v>2.1585617923064883E-2</v>
      </c>
      <c r="H64" s="8">
        <f t="shared" ca="1" si="0"/>
        <v>1.3773609472687852E-2</v>
      </c>
      <c r="I64" s="4">
        <f t="shared" ca="1" si="6"/>
        <v>3.6055775338389176E-2</v>
      </c>
      <c r="J64" s="4">
        <f t="shared" si="7"/>
        <v>0</v>
      </c>
      <c r="K64" s="8">
        <f t="shared" ca="1" si="2"/>
        <v>2.4914692405538515E-2</v>
      </c>
      <c r="L64" s="8">
        <f t="shared" ca="1" si="8"/>
        <v>-2.2282165865701319E-2</v>
      </c>
    </row>
    <row r="65" spans="1:12" x14ac:dyDescent="0.4">
      <c r="A65" s="5">
        <v>53</v>
      </c>
      <c r="B65" s="4">
        <f t="shared" si="3"/>
        <v>5.3000000000000007</v>
      </c>
      <c r="C65" s="4">
        <v>10</v>
      </c>
      <c r="D65" s="8">
        <f t="shared" ca="1" si="1"/>
        <v>9.9785841225811662</v>
      </c>
      <c r="E65" s="4">
        <f t="shared" ca="1" si="4"/>
        <v>6.2148747272754157E-4</v>
      </c>
      <c r="F65" s="4">
        <f t="shared" ca="1" si="11"/>
        <v>-2.1975216144288559E-2</v>
      </c>
      <c r="G65" s="4">
        <f t="shared" ca="1" si="11"/>
        <v>1.9388096308636027E-2</v>
      </c>
      <c r="H65" s="8">
        <f t="shared" ca="1" si="0"/>
        <v>2.8058887232146411E-2</v>
      </c>
      <c r="I65" s="4">
        <f t="shared" ca="1" si="6"/>
        <v>3.3827558751819045E-2</v>
      </c>
      <c r="J65" s="4">
        <f t="shared" si="7"/>
        <v>0</v>
      </c>
      <c r="K65" s="8">
        <f t="shared" ca="1" si="2"/>
        <v>3.0943222991982728E-2</v>
      </c>
      <c r="L65" s="8">
        <f t="shared" ca="1" si="8"/>
        <v>-5.7686715196726343E-3</v>
      </c>
    </row>
    <row r="66" spans="1:12" x14ac:dyDescent="0.4">
      <c r="A66" s="5">
        <v>54</v>
      </c>
      <c r="B66" s="4">
        <f t="shared" si="3"/>
        <v>5.4</v>
      </c>
      <c r="C66" s="4">
        <v>10</v>
      </c>
      <c r="D66" s="8">
        <f t="shared" ca="1" si="1"/>
        <v>10.03388615009545</v>
      </c>
      <c r="E66" s="4">
        <f t="shared" ca="1" si="4"/>
        <v>5.5861366239738267E-2</v>
      </c>
      <c r="F66" s="4">
        <f t="shared" ca="1" si="11"/>
        <v>-1.6389079520314733E-2</v>
      </c>
      <c r="G66" s="4">
        <f t="shared" ca="1" si="11"/>
        <v>1.7749188356604554E-2</v>
      </c>
      <c r="H66" s="8">
        <f t="shared" ca="1" si="0"/>
        <v>2.0623546994687027E-2</v>
      </c>
      <c r="I66" s="4">
        <f t="shared" ca="1" si="6"/>
        <v>3.3250691599851778E-2</v>
      </c>
      <c r="J66" s="4">
        <f t="shared" si="7"/>
        <v>0</v>
      </c>
      <c r="K66" s="8">
        <f t="shared" ca="1" si="2"/>
        <v>2.6937119297269402E-2</v>
      </c>
      <c r="L66" s="8">
        <f t="shared" ca="1" si="8"/>
        <v>-1.2627144605164752E-2</v>
      </c>
    </row>
    <row r="67" spans="1:12" x14ac:dyDescent="0.4">
      <c r="A67" s="5">
        <v>55</v>
      </c>
      <c r="B67" s="4">
        <f t="shared" si="3"/>
        <v>5.5</v>
      </c>
      <c r="C67" s="4">
        <v>10</v>
      </c>
      <c r="D67" s="8">
        <f t="shared" ca="1" si="1"/>
        <v>10.039822434018474</v>
      </c>
      <c r="E67" s="4">
        <f t="shared" ca="1" si="4"/>
        <v>5.6211513538788366E-2</v>
      </c>
      <c r="F67" s="4">
        <f t="shared" ca="1" si="11"/>
        <v>-1.0767928166435896E-2</v>
      </c>
      <c r="G67" s="4">
        <f t="shared" ca="1" si="11"/>
        <v>1.6672395539960964E-2</v>
      </c>
      <c r="H67" s="8">
        <f t="shared" ca="1" si="0"/>
        <v>1.9521594798253453E-2</v>
      </c>
      <c r="I67" s="4">
        <f t="shared" ca="1" si="6"/>
        <v>3.1987977139335301E-2</v>
      </c>
      <c r="J67" s="4">
        <f t="shared" si="7"/>
        <v>0</v>
      </c>
      <c r="K67" s="8">
        <f t="shared" ca="1" si="2"/>
        <v>2.5754785968794377E-2</v>
      </c>
      <c r="L67" s="8">
        <f t="shared" ca="1" si="8"/>
        <v>-1.2466382341081848E-2</v>
      </c>
    </row>
    <row r="68" spans="1:12" x14ac:dyDescent="0.4">
      <c r="A68" s="5">
        <v>56</v>
      </c>
      <c r="B68" s="4">
        <f t="shared" si="3"/>
        <v>5.6000000000000005</v>
      </c>
      <c r="C68" s="4">
        <v>10</v>
      </c>
      <c r="D68" s="8">
        <f t="shared" ca="1" si="1"/>
        <v>9.812655607518705</v>
      </c>
      <c r="E68" s="4">
        <f t="shared" ca="1" si="4"/>
        <v>-0.17657646431485907</v>
      </c>
      <c r="F68" s="4">
        <f t="shared" ca="1" si="11"/>
        <v>-2.8425574597921804E-2</v>
      </c>
      <c r="G68" s="4">
        <f t="shared" ca="1" si="11"/>
        <v>1.3829838080168784E-2</v>
      </c>
      <c r="H68" s="8">
        <f t="shared" ca="1" si="0"/>
        <v>1.6518409155736821E-2</v>
      </c>
      <c r="I68" s="4">
        <f t="shared" ca="1" si="6"/>
        <v>3.0741338905227115E-2</v>
      </c>
      <c r="J68" s="4">
        <f t="shared" si="7"/>
        <v>0</v>
      </c>
      <c r="K68" s="8">
        <f t="shared" ca="1" si="2"/>
        <v>2.3629874030481966E-2</v>
      </c>
      <c r="L68" s="8">
        <f t="shared" ca="1" si="8"/>
        <v>-1.4222929749490295E-2</v>
      </c>
    </row>
    <row r="69" spans="1:12" x14ac:dyDescent="0.4">
      <c r="A69" s="5">
        <v>57</v>
      </c>
      <c r="B69" s="4">
        <f t="shared" si="3"/>
        <v>5.7</v>
      </c>
      <c r="C69" s="4">
        <v>10</v>
      </c>
      <c r="D69" s="8">
        <f t="shared" ca="1" si="1"/>
        <v>10.290191166957365</v>
      </c>
      <c r="E69" s="4">
        <f t="shared" ca="1" si="4"/>
        <v>0.31861674155528719</v>
      </c>
      <c r="F69" s="4">
        <f t="shared" ca="1" si="11"/>
        <v>3.436099557606917E-3</v>
      </c>
      <c r="G69" s="4">
        <f t="shared" ca="1" si="11"/>
        <v>1.4173448035929475E-2</v>
      </c>
      <c r="H69" s="8">
        <f t="shared" ca="1" si="0"/>
        <v>2.462567285956957E-2</v>
      </c>
      <c r="I69" s="4">
        <f t="shared" ca="1" si="6"/>
        <v>2.9319045930278086E-2</v>
      </c>
      <c r="J69" s="4">
        <f t="shared" si="7"/>
        <v>0</v>
      </c>
      <c r="K69" s="8">
        <f t="shared" ca="1" si="2"/>
        <v>2.6972359394923828E-2</v>
      </c>
      <c r="L69" s="8">
        <f t="shared" ca="1" si="8"/>
        <v>-4.6933730707085161E-3</v>
      </c>
    </row>
    <row r="70" spans="1:12" x14ac:dyDescent="0.4">
      <c r="A70" s="5">
        <v>58</v>
      </c>
      <c r="B70" s="4">
        <f t="shared" si="3"/>
        <v>5.8000000000000007</v>
      </c>
      <c r="C70" s="4">
        <v>10</v>
      </c>
      <c r="D70" s="8">
        <f t="shared" ca="1" si="1"/>
        <v>10.095757009409844</v>
      </c>
      <c r="E70" s="4">
        <f t="shared" ca="1" si="4"/>
        <v>9.2320909852237412E-2</v>
      </c>
      <c r="F70" s="4">
        <f t="shared" ca="1" si="11"/>
        <v>1.2668190542830658E-2</v>
      </c>
      <c r="G70" s="4">
        <f t="shared" ca="1" si="11"/>
        <v>1.5440267090212541E-2</v>
      </c>
      <c r="H70" s="8">
        <f t="shared" ca="1" si="0"/>
        <v>3.3419962861688503E-2</v>
      </c>
      <c r="I70" s="4">
        <f t="shared" ca="1" si="6"/>
        <v>2.8849708623207234E-2</v>
      </c>
      <c r="J70" s="4">
        <f t="shared" si="7"/>
        <v>0</v>
      </c>
      <c r="K70" s="8">
        <f t="shared" ca="1" si="2"/>
        <v>3.1134835742447867E-2</v>
      </c>
      <c r="L70" s="8">
        <f t="shared" ca="1" si="8"/>
        <v>4.5702542384812687E-3</v>
      </c>
    </row>
    <row r="71" spans="1:12" x14ac:dyDescent="0.4">
      <c r="A71" s="5">
        <v>59</v>
      </c>
      <c r="B71" s="4">
        <f t="shared" si="3"/>
        <v>5.9</v>
      </c>
      <c r="C71" s="4">
        <v>10</v>
      </c>
      <c r="D71" s="8">
        <f t="shared" ca="1" si="1"/>
        <v>9.9358238581458505</v>
      </c>
      <c r="E71" s="4">
        <f t="shared" ca="1" si="4"/>
        <v>-7.6844332396980214E-2</v>
      </c>
      <c r="F71" s="4">
        <f t="shared" ca="1" si="11"/>
        <v>4.9837573031326363E-3</v>
      </c>
      <c r="G71" s="4">
        <f t="shared" ca="1" si="11"/>
        <v>1.5938642820525806E-2</v>
      </c>
      <c r="H71" s="8">
        <f t="shared" ca="1" si="0"/>
        <v>7.1930803907364546E-3</v>
      </c>
      <c r="I71" s="4">
        <f t="shared" ca="1" si="6"/>
        <v>2.9306734047055361E-2</v>
      </c>
      <c r="J71" s="4">
        <f t="shared" si="7"/>
        <v>0</v>
      </c>
      <c r="K71" s="8">
        <f t="shared" ca="1" si="2"/>
        <v>1.8249907218895908E-2</v>
      </c>
      <c r="L71" s="8">
        <f t="shared" ca="1" si="8"/>
        <v>-2.2113653656318902E-2</v>
      </c>
    </row>
    <row r="72" spans="1:12" x14ac:dyDescent="0.4">
      <c r="A72" s="5">
        <v>60</v>
      </c>
      <c r="B72" s="4">
        <f t="shared" si="3"/>
        <v>6</v>
      </c>
      <c r="C72" s="4">
        <v>10</v>
      </c>
      <c r="D72" s="8">
        <f t="shared" ca="1" si="1"/>
        <v>9.9422974446370809</v>
      </c>
      <c r="E72" s="4">
        <f t="shared" ca="1" si="4"/>
        <v>-6.2686312666051763E-2</v>
      </c>
      <c r="F72" s="4">
        <f t="shared" ca="1" si="11"/>
        <v>-1.2848739634725402E-3</v>
      </c>
      <c r="G72" s="4">
        <f t="shared" ca="1" si="11"/>
        <v>1.5810155424178553E-2</v>
      </c>
      <c r="H72" s="8">
        <f t="shared" ca="1" si="0"/>
        <v>1.6709140300603741E-2</v>
      </c>
      <c r="I72" s="4">
        <f t="shared" ca="1" si="6"/>
        <v>2.7095368681423471E-2</v>
      </c>
      <c r="J72" s="4">
        <f t="shared" si="7"/>
        <v>0</v>
      </c>
      <c r="K72" s="8">
        <f t="shared" ca="1" si="2"/>
        <v>2.1902254491013608E-2</v>
      </c>
      <c r="L72" s="8">
        <f t="shared" ca="1" si="8"/>
        <v>-1.0386228380819731E-2</v>
      </c>
    </row>
    <row r="73" spans="1:12" x14ac:dyDescent="0.4">
      <c r="A73" s="5">
        <v>61</v>
      </c>
      <c r="B73" s="4">
        <f t="shared" si="3"/>
        <v>6.1000000000000005</v>
      </c>
      <c r="C73" s="4">
        <v>10</v>
      </c>
      <c r="D73" s="8">
        <f t="shared" ca="1" si="1"/>
        <v>10.092371603779387</v>
      </c>
      <c r="E73" s="4">
        <f t="shared" ca="1" si="4"/>
        <v>9.36564777428599E-2</v>
      </c>
      <c r="F73" s="4">
        <f t="shared" ca="1" si="11"/>
        <v>8.0807738108134505E-3</v>
      </c>
      <c r="G73" s="4">
        <f t="shared" ca="1" si="11"/>
        <v>1.6618232805259897E-2</v>
      </c>
      <c r="H73" s="8">
        <f t="shared" ca="1" si="0"/>
        <v>1.0745298156314425E-2</v>
      </c>
      <c r="I73" s="4">
        <f t="shared" ca="1" si="6"/>
        <v>2.60567458433415E-2</v>
      </c>
      <c r="J73" s="4">
        <f t="shared" si="7"/>
        <v>0</v>
      </c>
      <c r="K73" s="8">
        <f t="shared" ca="1" si="2"/>
        <v>1.8401021999827964E-2</v>
      </c>
      <c r="L73" s="8">
        <f t="shared" ca="1" si="8"/>
        <v>-1.5311447687027075E-2</v>
      </c>
    </row>
    <row r="74" spans="1:12" x14ac:dyDescent="0.4">
      <c r="A74" s="5">
        <v>62</v>
      </c>
      <c r="B74" s="4">
        <f t="shared" si="3"/>
        <v>6.2</v>
      </c>
      <c r="C74" s="4">
        <v>10</v>
      </c>
      <c r="D74" s="8">
        <f t="shared" ca="1" si="1"/>
        <v>10.157515837159689</v>
      </c>
      <c r="E74" s="4">
        <f t="shared" ca="1" si="4"/>
        <v>0.14943506334887574</v>
      </c>
      <c r="F74" s="4">
        <f t="shared" ca="1" si="11"/>
        <v>2.3024280145701025E-2</v>
      </c>
      <c r="G74" s="4">
        <f t="shared" ca="1" si="11"/>
        <v>1.8920660819830001E-2</v>
      </c>
      <c r="H74" s="8">
        <f t="shared" ca="1" si="0"/>
        <v>1.6008030188250047E-2</v>
      </c>
      <c r="I74" s="4">
        <f t="shared" ca="1" si="6"/>
        <v>2.4525601074638793E-2</v>
      </c>
      <c r="J74" s="4">
        <f t="shared" si="7"/>
        <v>0</v>
      </c>
      <c r="K74" s="8">
        <f t="shared" ca="1" si="2"/>
        <v>2.0266815631444418E-2</v>
      </c>
      <c r="L74" s="8">
        <f t="shared" ca="1" si="8"/>
        <v>-8.5175708863887457E-3</v>
      </c>
    </row>
    <row r="75" spans="1:12" x14ac:dyDescent="0.4">
      <c r="A75" s="5">
        <v>63</v>
      </c>
      <c r="B75" s="4">
        <f t="shared" si="3"/>
        <v>6.3000000000000007</v>
      </c>
      <c r="C75" s="4">
        <v>10</v>
      </c>
      <c r="D75" s="8">
        <f t="shared" ca="1" si="1"/>
        <v>9.932490108594628</v>
      </c>
      <c r="E75" s="4">
        <f t="shared" ca="1" si="4"/>
        <v>-9.0534171551073031E-2</v>
      </c>
      <c r="F75" s="4">
        <f t="shared" ca="1" si="11"/>
        <v>1.3970862990593722E-2</v>
      </c>
      <c r="G75" s="4">
        <f t="shared" ca="1" si="11"/>
        <v>2.0317747118889375E-2</v>
      </c>
      <c r="H75" s="8">
        <f t="shared" ca="1" si="0"/>
        <v>3.9239639461773487E-2</v>
      </c>
      <c r="I75" s="4">
        <f t="shared" ca="1" si="6"/>
        <v>2.3673843985999917E-2</v>
      </c>
      <c r="J75" s="4">
        <f t="shared" si="7"/>
        <v>0</v>
      </c>
      <c r="K75" s="8">
        <f t="shared" ca="1" si="2"/>
        <v>3.1456741723886704E-2</v>
      </c>
      <c r="L75" s="8">
        <f t="shared" ca="1" si="8"/>
        <v>1.556579547577357E-2</v>
      </c>
    </row>
    <row r="76" spans="1:12" x14ac:dyDescent="0.4">
      <c r="A76" s="5">
        <v>64</v>
      </c>
      <c r="B76" s="4">
        <f t="shared" si="3"/>
        <v>6.4</v>
      </c>
      <c r="C76" s="4">
        <v>10</v>
      </c>
      <c r="D76" s="8">
        <f t="shared" ca="1" si="1"/>
        <v>9.88527833641486</v>
      </c>
      <c r="E76" s="4">
        <f t="shared" ca="1" si="4"/>
        <v>-0.12869252657573374</v>
      </c>
      <c r="F76" s="4">
        <f t="shared" ca="1" si="11"/>
        <v>1.1016103330203468E-3</v>
      </c>
      <c r="G76" s="4">
        <f t="shared" ca="1" si="11"/>
        <v>2.042790815219141E-2</v>
      </c>
      <c r="H76" s="8">
        <f t="shared" ref="H76:H112" ca="1" si="12">G76+IF($C$6&lt;=0,0,_xlfn.NORM.INV(RAND(),0,$C$6))</f>
        <v>2.1506065921255233E-2</v>
      </c>
      <c r="I76" s="4">
        <f t="shared" ca="1" si="6"/>
        <v>2.5230423533577274E-2</v>
      </c>
      <c r="J76" s="4">
        <f t="shared" si="7"/>
        <v>0</v>
      </c>
      <c r="K76" s="8">
        <f t="shared" ca="1" si="2"/>
        <v>2.3368244727416256E-2</v>
      </c>
      <c r="L76" s="8">
        <f t="shared" ca="1" si="8"/>
        <v>-3.7243576123220418E-3</v>
      </c>
    </row>
    <row r="77" spans="1:12" x14ac:dyDescent="0.4">
      <c r="A77" s="5">
        <v>65</v>
      </c>
      <c r="B77" s="4">
        <f t="shared" si="3"/>
        <v>6.5</v>
      </c>
      <c r="C77" s="4">
        <v>10</v>
      </c>
      <c r="D77" s="8">
        <f t="shared" ref="D77:D112" ca="1" si="13">C77+IF($B$6&lt;=0,0,_xlfn.NORM.INV(RAND(),0,$B$6))</f>
        <v>10.105559862631114</v>
      </c>
      <c r="E77" s="4">
        <f t="shared" ca="1" si="4"/>
        <v>0.10445825229809415</v>
      </c>
      <c r="F77" s="4">
        <f t="shared" ca="1" si="11"/>
        <v>1.1547435562829762E-2</v>
      </c>
      <c r="G77" s="4">
        <f t="shared" ca="1" si="11"/>
        <v>2.1582651708474388E-2</v>
      </c>
      <c r="H77" s="8">
        <f t="shared" ca="1" si="12"/>
        <v>2.7148878341474073E-2</v>
      </c>
      <c r="I77" s="4">
        <f t="shared" ca="1" si="6"/>
        <v>2.4857987772345071E-2</v>
      </c>
      <c r="J77" s="4">
        <f t="shared" si="7"/>
        <v>0</v>
      </c>
      <c r="K77" s="8">
        <f t="shared" ref="K77:K112" ca="1" si="14">I77+$B$8*(H77-I77)</f>
        <v>2.6003433056909574E-2</v>
      </c>
      <c r="L77" s="8">
        <f t="shared" ca="1" si="8"/>
        <v>2.2908905691290012E-3</v>
      </c>
    </row>
    <row r="78" spans="1:12" x14ac:dyDescent="0.4">
      <c r="A78" s="5">
        <v>66</v>
      </c>
      <c r="B78" s="4">
        <f t="shared" ref="B78:B112" si="15">A78*$E$2</f>
        <v>6.6000000000000005</v>
      </c>
      <c r="C78" s="4">
        <v>10</v>
      </c>
      <c r="D78" s="8">
        <f t="shared" ca="1" si="13"/>
        <v>10.224720827734952</v>
      </c>
      <c r="E78" s="4">
        <f t="shared" ref="E78:E112" ca="1" si="16">(D78+$C$2+$D$2*F77)/$B$2</f>
        <v>0.21317339217212242</v>
      </c>
      <c r="F78" s="4">
        <f t="shared" ref="F78:G93" ca="1" si="17">F77+E78*$E$2</f>
        <v>3.2864774780042003E-2</v>
      </c>
      <c r="G78" s="4">
        <f t="shared" ca="1" si="17"/>
        <v>2.486912918647859E-2</v>
      </c>
      <c r="H78" s="8">
        <f t="shared" ca="1" si="12"/>
        <v>2.0394604453275161E-2</v>
      </c>
      <c r="I78" s="4">
        <f t="shared" ref="I78:I112" ca="1" si="18">I77+L77*$E$2</f>
        <v>2.5087076829257971E-2</v>
      </c>
      <c r="J78" s="4">
        <f t="shared" ref="J78:J112" si="19">(1+$D$2*$E$2/$B$2)*J77+$E$2*(C77+$C$2)/$B$2</f>
        <v>0</v>
      </c>
      <c r="K78" s="8">
        <f t="shared" ca="1" si="14"/>
        <v>2.2740840641266566E-2</v>
      </c>
      <c r="L78" s="8">
        <f t="shared" ref="L78:L112" ca="1" si="20">J78+$C$8*(H78-I78)/$E$2</f>
        <v>-4.6924723759828105E-3</v>
      </c>
    </row>
    <row r="79" spans="1:12" x14ac:dyDescent="0.4">
      <c r="A79" s="5">
        <v>67</v>
      </c>
      <c r="B79" s="4">
        <f t="shared" si="15"/>
        <v>6.7</v>
      </c>
      <c r="C79" s="4">
        <v>10</v>
      </c>
      <c r="D79" s="8">
        <f t="shared" ca="1" si="13"/>
        <v>9.9791079776337259</v>
      </c>
      <c r="E79" s="4">
        <f t="shared" ca="1" si="16"/>
        <v>-5.3756797146316079E-2</v>
      </c>
      <c r="F79" s="4">
        <f t="shared" ca="1" si="17"/>
        <v>2.7489095065410394E-2</v>
      </c>
      <c r="G79" s="4">
        <f t="shared" ca="1" si="17"/>
        <v>2.7618038693019629E-2</v>
      </c>
      <c r="H79" s="8">
        <f t="shared" ca="1" si="12"/>
        <v>1.9324905322334336E-2</v>
      </c>
      <c r="I79" s="4">
        <f t="shared" ca="1" si="18"/>
        <v>2.4617829591659691E-2</v>
      </c>
      <c r="J79" s="4">
        <f t="shared" si="19"/>
        <v>0</v>
      </c>
      <c r="K79" s="8">
        <f t="shared" ca="1" si="14"/>
        <v>2.1971367456997015E-2</v>
      </c>
      <c r="L79" s="8">
        <f t="shared" ca="1" si="20"/>
        <v>-5.2929242693253538E-3</v>
      </c>
    </row>
    <row r="80" spans="1:12" x14ac:dyDescent="0.4">
      <c r="A80" s="5">
        <v>68</v>
      </c>
      <c r="B80" s="4">
        <f t="shared" si="15"/>
        <v>6.8000000000000007</v>
      </c>
      <c r="C80" s="4">
        <v>10</v>
      </c>
      <c r="D80" s="8">
        <f t="shared" ca="1" si="13"/>
        <v>9.9543223398687157</v>
      </c>
      <c r="E80" s="4">
        <f t="shared" ca="1" si="16"/>
        <v>-7.3166755196694661E-2</v>
      </c>
      <c r="F80" s="4">
        <f t="shared" ca="1" si="17"/>
        <v>2.0172419545740929E-2</v>
      </c>
      <c r="G80" s="4">
        <f t="shared" ca="1" si="17"/>
        <v>2.9635280647593722E-2</v>
      </c>
      <c r="H80" s="8">
        <f t="shared" ca="1" si="12"/>
        <v>1.8139655006261617E-2</v>
      </c>
      <c r="I80" s="4">
        <f t="shared" ca="1" si="18"/>
        <v>2.4088537164727156E-2</v>
      </c>
      <c r="J80" s="4">
        <f t="shared" si="19"/>
        <v>0</v>
      </c>
      <c r="K80" s="8">
        <f t="shared" ca="1" si="14"/>
        <v>2.1114096085494388E-2</v>
      </c>
      <c r="L80" s="8">
        <f t="shared" ca="1" si="20"/>
        <v>-5.9488821584655384E-3</v>
      </c>
    </row>
    <row r="81" spans="1:12" x14ac:dyDescent="0.4">
      <c r="A81" s="5">
        <v>69</v>
      </c>
      <c r="B81" s="4">
        <f t="shared" si="15"/>
        <v>6.9</v>
      </c>
      <c r="C81" s="4">
        <v>10</v>
      </c>
      <c r="D81" s="8">
        <f t="shared" ca="1" si="13"/>
        <v>10.055899662538586</v>
      </c>
      <c r="E81" s="4">
        <f t="shared" ca="1" si="16"/>
        <v>3.5727242992844986E-2</v>
      </c>
      <c r="F81" s="4">
        <f t="shared" ca="1" si="17"/>
        <v>2.3745143845025428E-2</v>
      </c>
      <c r="G81" s="4">
        <f t="shared" ca="1" si="17"/>
        <v>3.2009795032096264E-2</v>
      </c>
      <c r="H81" s="8">
        <f t="shared" ca="1" si="12"/>
        <v>3.2035750521940708E-2</v>
      </c>
      <c r="I81" s="4">
        <f t="shared" ca="1" si="18"/>
        <v>2.3493648948880601E-2</v>
      </c>
      <c r="J81" s="4">
        <f t="shared" si="19"/>
        <v>0</v>
      </c>
      <c r="K81" s="8">
        <f t="shared" ca="1" si="14"/>
        <v>2.7764699735410653E-2</v>
      </c>
      <c r="L81" s="8">
        <f t="shared" ca="1" si="20"/>
        <v>8.5421015730601062E-3</v>
      </c>
    </row>
    <row r="82" spans="1:12" x14ac:dyDescent="0.4">
      <c r="A82" s="5">
        <v>70</v>
      </c>
      <c r="B82" s="4">
        <f t="shared" si="15"/>
        <v>7</v>
      </c>
      <c r="C82" s="4">
        <v>10</v>
      </c>
      <c r="D82" s="8">
        <f t="shared" ca="1" si="13"/>
        <v>9.833547129751917</v>
      </c>
      <c r="E82" s="4">
        <f t="shared" ca="1" si="16"/>
        <v>-0.19019801409310841</v>
      </c>
      <c r="F82" s="4">
        <f t="shared" ca="1" si="17"/>
        <v>4.7253424357145864E-3</v>
      </c>
      <c r="G82" s="4">
        <f t="shared" ca="1" si="17"/>
        <v>3.2482329275667722E-2</v>
      </c>
      <c r="H82" s="8">
        <f t="shared" ca="1" si="12"/>
        <v>2.9647851882706414E-2</v>
      </c>
      <c r="I82" s="4">
        <f t="shared" ca="1" si="18"/>
        <v>2.4347859106186611E-2</v>
      </c>
      <c r="J82" s="4">
        <f t="shared" si="19"/>
        <v>0</v>
      </c>
      <c r="K82" s="8">
        <f t="shared" ca="1" si="14"/>
        <v>2.6997855494446513E-2</v>
      </c>
      <c r="L82" s="8">
        <f t="shared" ca="1" si="20"/>
        <v>5.2999927765198032E-3</v>
      </c>
    </row>
    <row r="83" spans="1:12" x14ac:dyDescent="0.4">
      <c r="A83" s="5">
        <v>71</v>
      </c>
      <c r="B83" s="4">
        <f t="shared" si="15"/>
        <v>7.1000000000000005</v>
      </c>
      <c r="C83" s="4">
        <v>10</v>
      </c>
      <c r="D83" s="8">
        <f t="shared" ca="1" si="13"/>
        <v>10.064628668593691</v>
      </c>
      <c r="E83" s="4">
        <f t="shared" ca="1" si="16"/>
        <v>5.9903326157976847E-2</v>
      </c>
      <c r="F83" s="4">
        <f t="shared" ca="1" si="17"/>
        <v>1.0715675051512271E-2</v>
      </c>
      <c r="G83" s="4">
        <f t="shared" ca="1" si="17"/>
        <v>3.3553896780818951E-2</v>
      </c>
      <c r="H83" s="8">
        <f t="shared" ca="1" si="12"/>
        <v>3.8097027563780875E-2</v>
      </c>
      <c r="I83" s="4">
        <f t="shared" ca="1" si="18"/>
        <v>2.4877858383838592E-2</v>
      </c>
      <c r="J83" s="4">
        <f t="shared" si="19"/>
        <v>0</v>
      </c>
      <c r="K83" s="8">
        <f t="shared" ca="1" si="14"/>
        <v>3.1487442973809732E-2</v>
      </c>
      <c r="L83" s="8">
        <f t="shared" ca="1" si="20"/>
        <v>1.3219169179942283E-2</v>
      </c>
    </row>
    <row r="84" spans="1:12" x14ac:dyDescent="0.4">
      <c r="A84" s="5">
        <v>72</v>
      </c>
      <c r="B84" s="4">
        <f t="shared" si="15"/>
        <v>7.2</v>
      </c>
      <c r="C84" s="4">
        <v>10</v>
      </c>
      <c r="D84" s="8">
        <f t="shared" ca="1" si="13"/>
        <v>10.034241799689697</v>
      </c>
      <c r="E84" s="4">
        <f t="shared" ca="1" si="16"/>
        <v>2.3526124638185045E-2</v>
      </c>
      <c r="F84" s="4">
        <f t="shared" ca="1" si="17"/>
        <v>1.3068287515330776E-2</v>
      </c>
      <c r="G84" s="4">
        <f t="shared" ca="1" si="17"/>
        <v>3.4860725532352026E-2</v>
      </c>
      <c r="H84" s="8">
        <f t="shared" ca="1" si="12"/>
        <v>2.6581601993379816E-2</v>
      </c>
      <c r="I84" s="4">
        <f t="shared" ca="1" si="18"/>
        <v>2.6199775301832821E-2</v>
      </c>
      <c r="J84" s="4">
        <f t="shared" si="19"/>
        <v>0</v>
      </c>
      <c r="K84" s="8">
        <f t="shared" ca="1" si="14"/>
        <v>2.6390688647606318E-2</v>
      </c>
      <c r="L84" s="8">
        <f t="shared" ca="1" si="20"/>
        <v>3.8182669154699506E-4</v>
      </c>
    </row>
    <row r="85" spans="1:12" x14ac:dyDescent="0.4">
      <c r="A85" s="5">
        <v>73</v>
      </c>
      <c r="B85" s="4">
        <f t="shared" si="15"/>
        <v>7.3000000000000007</v>
      </c>
      <c r="C85" s="4">
        <v>10</v>
      </c>
      <c r="D85" s="8">
        <f t="shared" ca="1" si="13"/>
        <v>10.021006575040859</v>
      </c>
      <c r="E85" s="4">
        <f t="shared" ca="1" si="16"/>
        <v>7.9382875255284563E-3</v>
      </c>
      <c r="F85" s="4">
        <f t="shared" ca="1" si="17"/>
        <v>1.3862116267883622E-2</v>
      </c>
      <c r="G85" s="4">
        <f t="shared" ca="1" si="17"/>
        <v>3.6246937159140388E-2</v>
      </c>
      <c r="H85" s="8">
        <f t="shared" ca="1" si="12"/>
        <v>2.7121293053938844E-2</v>
      </c>
      <c r="I85" s="4">
        <f t="shared" ca="1" si="18"/>
        <v>2.6237957970987519E-2</v>
      </c>
      <c r="J85" s="4">
        <f t="shared" si="19"/>
        <v>0</v>
      </c>
      <c r="K85" s="8">
        <f t="shared" ca="1" si="14"/>
        <v>2.6679625512463181E-2</v>
      </c>
      <c r="L85" s="8">
        <f t="shared" ca="1" si="20"/>
        <v>8.8333508295132535E-4</v>
      </c>
    </row>
    <row r="86" spans="1:12" x14ac:dyDescent="0.4">
      <c r="A86" s="5">
        <v>74</v>
      </c>
      <c r="B86" s="4">
        <f t="shared" si="15"/>
        <v>7.4</v>
      </c>
      <c r="C86" s="4">
        <v>10</v>
      </c>
      <c r="D86" s="8">
        <f t="shared" ca="1" si="13"/>
        <v>9.9973958558362224</v>
      </c>
      <c r="E86" s="4">
        <f t="shared" ca="1" si="16"/>
        <v>-1.6466260431661255E-2</v>
      </c>
      <c r="F86" s="4">
        <f t="shared" ca="1" si="17"/>
        <v>1.2215490224717497E-2</v>
      </c>
      <c r="G86" s="4">
        <f t="shared" ca="1" si="17"/>
        <v>3.7468486181612137E-2</v>
      </c>
      <c r="H86" s="8">
        <f t="shared" ca="1" si="12"/>
        <v>2.8566172591815774E-2</v>
      </c>
      <c r="I86" s="4">
        <f t="shared" ca="1" si="18"/>
        <v>2.632629147928265E-2</v>
      </c>
      <c r="J86" s="4">
        <f t="shared" si="19"/>
        <v>0</v>
      </c>
      <c r="K86" s="8">
        <f t="shared" ca="1" si="14"/>
        <v>2.744623203554921E-2</v>
      </c>
      <c r="L86" s="8">
        <f t="shared" ca="1" si="20"/>
        <v>2.2398811125331243E-3</v>
      </c>
    </row>
    <row r="87" spans="1:12" x14ac:dyDescent="0.4">
      <c r="A87" s="5">
        <v>75</v>
      </c>
      <c r="B87" s="4">
        <f t="shared" si="15"/>
        <v>7.5</v>
      </c>
      <c r="C87" s="4">
        <v>10</v>
      </c>
      <c r="D87" s="8">
        <f t="shared" ca="1" si="13"/>
        <v>9.9555973737467109</v>
      </c>
      <c r="E87" s="4">
        <f t="shared" ca="1" si="16"/>
        <v>-5.6618116478006554E-2</v>
      </c>
      <c r="F87" s="4">
        <f t="shared" ca="1" si="17"/>
        <v>6.553678576916841E-3</v>
      </c>
      <c r="G87" s="4">
        <f t="shared" ca="1" si="17"/>
        <v>3.8123854039303823E-2</v>
      </c>
      <c r="H87" s="8">
        <f t="shared" ca="1" si="12"/>
        <v>4.3987349007312944E-2</v>
      </c>
      <c r="I87" s="4">
        <f t="shared" ca="1" si="18"/>
        <v>2.6550279590535963E-2</v>
      </c>
      <c r="J87" s="4">
        <f t="shared" si="19"/>
        <v>0</v>
      </c>
      <c r="K87" s="8">
        <f t="shared" ca="1" si="14"/>
        <v>3.526881429892445E-2</v>
      </c>
      <c r="L87" s="8">
        <f t="shared" ca="1" si="20"/>
        <v>1.743706941677698E-2</v>
      </c>
    </row>
    <row r="88" spans="1:12" x14ac:dyDescent="0.4">
      <c r="A88" s="5">
        <v>76</v>
      </c>
      <c r="B88" s="4">
        <f t="shared" si="15"/>
        <v>7.6000000000000005</v>
      </c>
      <c r="C88" s="4">
        <v>10</v>
      </c>
      <c r="D88" s="8">
        <f t="shared" ca="1" si="13"/>
        <v>9.9695088113281543</v>
      </c>
      <c r="E88" s="4">
        <f t="shared" ca="1" si="16"/>
        <v>-3.7044867248762589E-2</v>
      </c>
      <c r="F88" s="4">
        <f t="shared" ca="1" si="17"/>
        <v>2.8491918520405818E-3</v>
      </c>
      <c r="G88" s="4">
        <f t="shared" ca="1" si="17"/>
        <v>3.8408773224507878E-2</v>
      </c>
      <c r="H88" s="8">
        <f t="shared" ca="1" si="12"/>
        <v>4.2720885877993275E-2</v>
      </c>
      <c r="I88" s="4">
        <f t="shared" ca="1" si="18"/>
        <v>2.8293986532213662E-2</v>
      </c>
      <c r="J88" s="4">
        <f t="shared" si="19"/>
        <v>0</v>
      </c>
      <c r="K88" s="8">
        <f t="shared" ca="1" si="14"/>
        <v>3.5507436205103465E-2</v>
      </c>
      <c r="L88" s="8">
        <f t="shared" ca="1" si="20"/>
        <v>1.4426899345779615E-2</v>
      </c>
    </row>
    <row r="89" spans="1:12" x14ac:dyDescent="0.4">
      <c r="A89" s="5">
        <v>77</v>
      </c>
      <c r="B89" s="4">
        <f t="shared" si="15"/>
        <v>7.7</v>
      </c>
      <c r="C89" s="4">
        <v>10</v>
      </c>
      <c r="D89" s="8">
        <f t="shared" ca="1" si="13"/>
        <v>9.8635275806315281</v>
      </c>
      <c r="E89" s="4">
        <f t="shared" ca="1" si="16"/>
        <v>-0.13932161122051245</v>
      </c>
      <c r="F89" s="4">
        <f t="shared" ca="1" si="17"/>
        <v>-1.1082969270010665E-2</v>
      </c>
      <c r="G89" s="4">
        <f t="shared" ca="1" si="17"/>
        <v>3.730047629750681E-2</v>
      </c>
      <c r="H89" s="8">
        <f t="shared" ca="1" si="12"/>
        <v>3.1958303353615547E-2</v>
      </c>
      <c r="I89" s="4">
        <f t="shared" ca="1" si="18"/>
        <v>2.9736676466791623E-2</v>
      </c>
      <c r="J89" s="4">
        <f t="shared" si="19"/>
        <v>0</v>
      </c>
      <c r="K89" s="8">
        <f t="shared" ca="1" si="14"/>
        <v>3.0847489910203585E-2</v>
      </c>
      <c r="L89" s="8">
        <f t="shared" ca="1" si="20"/>
        <v>2.2216268868239242E-3</v>
      </c>
    </row>
    <row r="90" spans="1:12" x14ac:dyDescent="0.4">
      <c r="A90" s="5">
        <v>78</v>
      </c>
      <c r="B90" s="4">
        <f t="shared" si="15"/>
        <v>7.8000000000000007</v>
      </c>
      <c r="C90" s="4">
        <v>10</v>
      </c>
      <c r="D90" s="8">
        <f t="shared" ca="1" si="13"/>
        <v>10.045607945110969</v>
      </c>
      <c r="E90" s="4">
        <f t="shared" ca="1" si="16"/>
        <v>5.6690914380980104E-2</v>
      </c>
      <c r="F90" s="4">
        <f t="shared" ca="1" si="17"/>
        <v>-5.4138778319126543E-3</v>
      </c>
      <c r="G90" s="4">
        <f t="shared" ca="1" si="17"/>
        <v>3.6759088514315544E-2</v>
      </c>
      <c r="H90" s="8">
        <f t="shared" ca="1" si="12"/>
        <v>3.6355506635665558E-2</v>
      </c>
      <c r="I90" s="4">
        <f t="shared" ca="1" si="18"/>
        <v>2.9958839155474017E-2</v>
      </c>
      <c r="J90" s="4">
        <f t="shared" si="19"/>
        <v>0</v>
      </c>
      <c r="K90" s="8">
        <f t="shared" ca="1" si="14"/>
        <v>3.3157172895569784E-2</v>
      </c>
      <c r="L90" s="8">
        <f t="shared" ca="1" si="20"/>
        <v>6.396667480191541E-3</v>
      </c>
    </row>
    <row r="91" spans="1:12" x14ac:dyDescent="0.4">
      <c r="A91" s="5">
        <v>79</v>
      </c>
      <c r="B91" s="4">
        <f t="shared" si="15"/>
        <v>7.9</v>
      </c>
      <c r="C91" s="4">
        <v>10</v>
      </c>
      <c r="D91" s="8">
        <f t="shared" ca="1" si="13"/>
        <v>10.046322338708498</v>
      </c>
      <c r="E91" s="4">
        <f t="shared" ca="1" si="16"/>
        <v>5.1736216540410322E-2</v>
      </c>
      <c r="F91" s="4">
        <f t="shared" ca="1" si="17"/>
        <v>-2.402561778716214E-4</v>
      </c>
      <c r="G91" s="4">
        <f t="shared" ca="1" si="17"/>
        <v>3.6735062896528378E-2</v>
      </c>
      <c r="H91" s="8">
        <f t="shared" ca="1" si="12"/>
        <v>2.2901570198790508E-2</v>
      </c>
      <c r="I91" s="4">
        <f t="shared" ca="1" si="18"/>
        <v>3.0598505903493171E-2</v>
      </c>
      <c r="J91" s="4">
        <f t="shared" si="19"/>
        <v>0</v>
      </c>
      <c r="K91" s="8">
        <f t="shared" ca="1" si="14"/>
        <v>2.6750038051141838E-2</v>
      </c>
      <c r="L91" s="8">
        <f t="shared" ca="1" si="20"/>
        <v>-7.6969357047026628E-3</v>
      </c>
    </row>
    <row r="92" spans="1:12" x14ac:dyDescent="0.4">
      <c r="A92" s="5">
        <v>80</v>
      </c>
      <c r="B92" s="4">
        <f t="shared" si="15"/>
        <v>8</v>
      </c>
      <c r="C92" s="4">
        <v>10</v>
      </c>
      <c r="D92" s="8">
        <f t="shared" ca="1" si="13"/>
        <v>10.086494768594237</v>
      </c>
      <c r="E92" s="4">
        <f t="shared" ca="1" si="16"/>
        <v>8.6735024772108843E-2</v>
      </c>
      <c r="F92" s="4">
        <f t="shared" ca="1" si="17"/>
        <v>8.4332462993392636E-3</v>
      </c>
      <c r="G92" s="4">
        <f t="shared" ca="1" si="17"/>
        <v>3.7578387526462302E-2</v>
      </c>
      <c r="H92" s="8">
        <f t="shared" ca="1" si="12"/>
        <v>2.5843606060837694E-2</v>
      </c>
      <c r="I92" s="4">
        <f t="shared" ca="1" si="18"/>
        <v>2.9828812333022904E-2</v>
      </c>
      <c r="J92" s="4">
        <f t="shared" si="19"/>
        <v>0</v>
      </c>
      <c r="K92" s="8">
        <f t="shared" ca="1" si="14"/>
        <v>2.7836209196930299E-2</v>
      </c>
      <c r="L92" s="8">
        <f t="shared" ca="1" si="20"/>
        <v>-3.98520627218521E-3</v>
      </c>
    </row>
    <row r="93" spans="1:12" x14ac:dyDescent="0.4">
      <c r="A93" s="5">
        <v>81</v>
      </c>
      <c r="B93" s="4">
        <f t="shared" si="15"/>
        <v>8.1</v>
      </c>
      <c r="C93" s="4">
        <v>10</v>
      </c>
      <c r="D93" s="8">
        <f t="shared" ca="1" si="13"/>
        <v>10.26125462871553</v>
      </c>
      <c r="E93" s="4">
        <f t="shared" ca="1" si="16"/>
        <v>0.25282138241619112</v>
      </c>
      <c r="F93" s="4">
        <f t="shared" ca="1" si="17"/>
        <v>3.3715384540958376E-2</v>
      </c>
      <c r="G93" s="4">
        <f t="shared" ca="1" si="17"/>
        <v>4.094992598055814E-2</v>
      </c>
      <c r="H93" s="8">
        <f t="shared" ca="1" si="12"/>
        <v>3.5262570439724347E-2</v>
      </c>
      <c r="I93" s="4">
        <f t="shared" ca="1" si="18"/>
        <v>2.9430291705804384E-2</v>
      </c>
      <c r="J93" s="4">
        <f t="shared" si="19"/>
        <v>0</v>
      </c>
      <c r="K93" s="8">
        <f t="shared" ca="1" si="14"/>
        <v>3.2346431072764366E-2</v>
      </c>
      <c r="L93" s="8">
        <f t="shared" ca="1" si="20"/>
        <v>5.8322787339199628E-3</v>
      </c>
    </row>
    <row r="94" spans="1:12" x14ac:dyDescent="0.4">
      <c r="A94" s="5">
        <v>82</v>
      </c>
      <c r="B94" s="4">
        <f t="shared" si="15"/>
        <v>8.2000000000000011</v>
      </c>
      <c r="C94" s="4">
        <v>10</v>
      </c>
      <c r="D94" s="8">
        <f t="shared" ca="1" si="13"/>
        <v>9.8630207397385448</v>
      </c>
      <c r="E94" s="4">
        <f t="shared" ca="1" si="16"/>
        <v>-0.17069464480241361</v>
      </c>
      <c r="F94" s="4">
        <f t="shared" ref="F94:G109" ca="1" si="21">F93+E94*$E$2</f>
        <v>1.6645920060717013E-2</v>
      </c>
      <c r="G94" s="4">
        <f t="shared" ca="1" si="21"/>
        <v>4.2614517986629838E-2</v>
      </c>
      <c r="H94" s="8">
        <f t="shared" ca="1" si="12"/>
        <v>5.1730604566977048E-2</v>
      </c>
      <c r="I94" s="4">
        <f t="shared" ca="1" si="18"/>
        <v>3.0013519579196381E-2</v>
      </c>
      <c r="J94" s="4">
        <f t="shared" si="19"/>
        <v>0</v>
      </c>
      <c r="K94" s="8">
        <f t="shared" ca="1" si="14"/>
        <v>4.0872062073086718E-2</v>
      </c>
      <c r="L94" s="8">
        <f t="shared" ca="1" si="20"/>
        <v>2.1717084987780664E-2</v>
      </c>
    </row>
    <row r="95" spans="1:12" x14ac:dyDescent="0.4">
      <c r="A95" s="5">
        <v>83</v>
      </c>
      <c r="B95" s="4">
        <f t="shared" si="15"/>
        <v>8.3000000000000007</v>
      </c>
      <c r="C95" s="4">
        <v>10</v>
      </c>
      <c r="D95" s="8">
        <f t="shared" ca="1" si="13"/>
        <v>10.077087171105033</v>
      </c>
      <c r="E95" s="4">
        <f t="shared" ca="1" si="16"/>
        <v>6.0441251044315927E-2</v>
      </c>
      <c r="F95" s="4">
        <f t="shared" ca="1" si="21"/>
        <v>2.2690045165148606E-2</v>
      </c>
      <c r="G95" s="4">
        <f t="shared" ca="1" si="21"/>
        <v>4.4883522503144702E-2</v>
      </c>
      <c r="H95" s="8">
        <f t="shared" ca="1" si="12"/>
        <v>3.3371529684069805E-2</v>
      </c>
      <c r="I95" s="4">
        <f t="shared" ca="1" si="18"/>
        <v>3.218522807797445E-2</v>
      </c>
      <c r="J95" s="4">
        <f t="shared" si="19"/>
        <v>0</v>
      </c>
      <c r="K95" s="8">
        <f t="shared" ca="1" si="14"/>
        <v>3.2778378881022127E-2</v>
      </c>
      <c r="L95" s="8">
        <f t="shared" ca="1" si="20"/>
        <v>1.1863016060953552E-3</v>
      </c>
    </row>
    <row r="96" spans="1:12" x14ac:dyDescent="0.4">
      <c r="A96" s="5">
        <v>84</v>
      </c>
      <c r="B96" s="4">
        <f t="shared" si="15"/>
        <v>8.4</v>
      </c>
      <c r="C96" s="4">
        <v>10</v>
      </c>
      <c r="D96" s="8">
        <f t="shared" ca="1" si="13"/>
        <v>9.951458079253154</v>
      </c>
      <c r="E96" s="4">
        <f t="shared" ca="1" si="16"/>
        <v>-7.1231965911994655E-2</v>
      </c>
      <c r="F96" s="4">
        <f t="shared" ca="1" si="21"/>
        <v>1.5566848573949139E-2</v>
      </c>
      <c r="G96" s="4">
        <f t="shared" ca="1" si="21"/>
        <v>4.6440207360539616E-2</v>
      </c>
      <c r="H96" s="8">
        <f t="shared" ca="1" si="12"/>
        <v>4.2630962006508684E-2</v>
      </c>
      <c r="I96" s="4">
        <f t="shared" ca="1" si="18"/>
        <v>3.2303858238583984E-2</v>
      </c>
      <c r="J96" s="4">
        <f t="shared" si="19"/>
        <v>0</v>
      </c>
      <c r="K96" s="8">
        <f t="shared" ca="1" si="14"/>
        <v>3.7467410122546334E-2</v>
      </c>
      <c r="L96" s="8">
        <f t="shared" ca="1" si="20"/>
        <v>1.03271037679247E-2</v>
      </c>
    </row>
    <row r="97" spans="1:12" x14ac:dyDescent="0.4">
      <c r="A97" s="5">
        <v>85</v>
      </c>
      <c r="B97" s="4">
        <f t="shared" si="15"/>
        <v>8.5</v>
      </c>
      <c r="C97" s="4">
        <v>10</v>
      </c>
      <c r="D97" s="8">
        <f t="shared" ca="1" si="13"/>
        <v>9.9801492603830066</v>
      </c>
      <c r="E97" s="4">
        <f t="shared" ca="1" si="16"/>
        <v>-3.5417588190942491E-2</v>
      </c>
      <c r="F97" s="4">
        <f t="shared" ca="1" si="21"/>
        <v>1.202508975485489E-2</v>
      </c>
      <c r="G97" s="4">
        <f t="shared" ca="1" si="21"/>
        <v>4.7642716336025105E-2</v>
      </c>
      <c r="H97" s="8">
        <f t="shared" ca="1" si="12"/>
        <v>5.1682138019582435E-2</v>
      </c>
      <c r="I97" s="4">
        <f t="shared" ca="1" si="18"/>
        <v>3.3336568615376455E-2</v>
      </c>
      <c r="J97" s="4">
        <f t="shared" si="19"/>
        <v>0</v>
      </c>
      <c r="K97" s="8">
        <f t="shared" ca="1" si="14"/>
        <v>4.2509353317479445E-2</v>
      </c>
      <c r="L97" s="8">
        <f t="shared" ca="1" si="20"/>
        <v>1.834556940420598E-2</v>
      </c>
    </row>
    <row r="98" spans="1:12" x14ac:dyDescent="0.4">
      <c r="A98" s="5">
        <v>86</v>
      </c>
      <c r="B98" s="4">
        <f t="shared" si="15"/>
        <v>8.6</v>
      </c>
      <c r="C98" s="4">
        <v>10</v>
      </c>
      <c r="D98" s="8">
        <f t="shared" ca="1" si="13"/>
        <v>10.022976304329941</v>
      </c>
      <c r="E98" s="4">
        <f t="shared" ca="1" si="16"/>
        <v>1.0951214575085799E-2</v>
      </c>
      <c r="F98" s="4">
        <f t="shared" ca="1" si="21"/>
        <v>1.312021121236347E-2</v>
      </c>
      <c r="G98" s="4">
        <f t="shared" ca="1" si="21"/>
        <v>4.8954737457261449E-2</v>
      </c>
      <c r="H98" s="8">
        <f t="shared" ca="1" si="12"/>
        <v>4.898398810465341E-2</v>
      </c>
      <c r="I98" s="4">
        <f t="shared" ca="1" si="18"/>
        <v>3.5171125555797052E-2</v>
      </c>
      <c r="J98" s="4">
        <f t="shared" si="19"/>
        <v>0</v>
      </c>
      <c r="K98" s="8">
        <f t="shared" ca="1" si="14"/>
        <v>4.2077556830225231E-2</v>
      </c>
      <c r="L98" s="8">
        <f t="shared" ca="1" si="20"/>
        <v>1.3812862548856358E-2</v>
      </c>
    </row>
    <row r="99" spans="1:12" x14ac:dyDescent="0.4">
      <c r="A99" s="5">
        <v>87</v>
      </c>
      <c r="B99" s="4">
        <f t="shared" si="15"/>
        <v>8.7000000000000011</v>
      </c>
      <c r="C99" s="4">
        <v>10</v>
      </c>
      <c r="D99" s="8">
        <f t="shared" ca="1" si="13"/>
        <v>9.904905962956045</v>
      </c>
      <c r="E99" s="4">
        <f t="shared" ca="1" si="16"/>
        <v>-0.10821424825631849</v>
      </c>
      <c r="F99" s="4">
        <f t="shared" ca="1" si="21"/>
        <v>2.2987863867316195E-3</v>
      </c>
      <c r="G99" s="4">
        <f t="shared" ca="1" si="21"/>
        <v>4.9184616095934608E-2</v>
      </c>
      <c r="H99" s="8">
        <f t="shared" ca="1" si="12"/>
        <v>5.092418005198273E-2</v>
      </c>
      <c r="I99" s="4">
        <f t="shared" ca="1" si="18"/>
        <v>3.6552411810682688E-2</v>
      </c>
      <c r="J99" s="4">
        <f t="shared" si="19"/>
        <v>0</v>
      </c>
      <c r="K99" s="8">
        <f t="shared" ca="1" si="14"/>
        <v>4.3738295931332709E-2</v>
      </c>
      <c r="L99" s="8">
        <f t="shared" ca="1" si="20"/>
        <v>1.4371768241300042E-2</v>
      </c>
    </row>
    <row r="100" spans="1:12" x14ac:dyDescent="0.4">
      <c r="A100" s="5">
        <v>88</v>
      </c>
      <c r="B100" s="4">
        <f t="shared" si="15"/>
        <v>8.8000000000000007</v>
      </c>
      <c r="C100" s="4">
        <v>10</v>
      </c>
      <c r="D100" s="8">
        <f t="shared" ca="1" si="13"/>
        <v>10.201057437822778</v>
      </c>
      <c r="E100" s="4">
        <f t="shared" ca="1" si="16"/>
        <v>0.19875865143604601</v>
      </c>
      <c r="F100" s="4">
        <f t="shared" ca="1" si="21"/>
        <v>2.2174651530336223E-2</v>
      </c>
      <c r="G100" s="4">
        <f t="shared" ca="1" si="21"/>
        <v>5.140208124896823E-2</v>
      </c>
      <c r="H100" s="8">
        <f t="shared" ca="1" si="12"/>
        <v>5.4169008393339171E-2</v>
      </c>
      <c r="I100" s="4">
        <f t="shared" ca="1" si="18"/>
        <v>3.7989588634812693E-2</v>
      </c>
      <c r="J100" s="4">
        <f t="shared" si="19"/>
        <v>0</v>
      </c>
      <c r="K100" s="8">
        <f t="shared" ca="1" si="14"/>
        <v>4.6079298514075932E-2</v>
      </c>
      <c r="L100" s="8">
        <f t="shared" ca="1" si="20"/>
        <v>1.6179419758526478E-2</v>
      </c>
    </row>
    <row r="101" spans="1:12" x14ac:dyDescent="0.4">
      <c r="A101" s="5">
        <v>89</v>
      </c>
      <c r="B101" s="4">
        <f t="shared" si="15"/>
        <v>8.9</v>
      </c>
      <c r="C101" s="4">
        <v>10</v>
      </c>
      <c r="D101" s="8">
        <f t="shared" ca="1" si="13"/>
        <v>9.8473929427014237</v>
      </c>
      <c r="E101" s="4">
        <f t="shared" ca="1" si="16"/>
        <v>-0.17478170882891247</v>
      </c>
      <c r="F101" s="4">
        <f t="shared" ca="1" si="21"/>
        <v>4.6964806474449755E-3</v>
      </c>
      <c r="G101" s="4">
        <f t="shared" ca="1" si="21"/>
        <v>5.1871729313712728E-2</v>
      </c>
      <c r="H101" s="8">
        <f t="shared" ca="1" si="12"/>
        <v>5.9039832991630431E-2</v>
      </c>
      <c r="I101" s="4">
        <f t="shared" ca="1" si="18"/>
        <v>3.960753061066534E-2</v>
      </c>
      <c r="J101" s="4">
        <f t="shared" si="19"/>
        <v>0</v>
      </c>
      <c r="K101" s="8">
        <f t="shared" ca="1" si="14"/>
        <v>4.9323681801147885E-2</v>
      </c>
      <c r="L101" s="8">
        <f t="shared" ca="1" si="20"/>
        <v>1.9432302380965091E-2</v>
      </c>
    </row>
    <row r="102" spans="1:12" x14ac:dyDescent="0.4">
      <c r="A102" s="5">
        <v>90</v>
      </c>
      <c r="B102" s="4">
        <f t="shared" si="15"/>
        <v>9</v>
      </c>
      <c r="C102" s="4">
        <v>10</v>
      </c>
      <c r="D102" s="8">
        <f t="shared" ca="1" si="13"/>
        <v>10.021680254722888</v>
      </c>
      <c r="E102" s="4">
        <f t="shared" ca="1" si="16"/>
        <v>1.6983774075443062E-2</v>
      </c>
      <c r="F102" s="4">
        <f t="shared" ca="1" si="21"/>
        <v>6.394858054989282E-3</v>
      </c>
      <c r="G102" s="4">
        <f t="shared" ca="1" si="21"/>
        <v>5.2511215119211654E-2</v>
      </c>
      <c r="H102" s="8">
        <f t="shared" ca="1" si="12"/>
        <v>5.272085539232773E-2</v>
      </c>
      <c r="I102" s="4">
        <f t="shared" ca="1" si="18"/>
        <v>4.1550760848761852E-2</v>
      </c>
      <c r="J102" s="4">
        <f t="shared" si="19"/>
        <v>0</v>
      </c>
      <c r="K102" s="8">
        <f t="shared" ca="1" si="14"/>
        <v>4.7135808120544791E-2</v>
      </c>
      <c r="L102" s="8">
        <f t="shared" ca="1" si="20"/>
        <v>1.1170094543565878E-2</v>
      </c>
    </row>
    <row r="103" spans="1:12" x14ac:dyDescent="0.4">
      <c r="A103" s="5">
        <v>91</v>
      </c>
      <c r="B103" s="4">
        <f t="shared" si="15"/>
        <v>9.1</v>
      </c>
      <c r="C103" s="4">
        <v>10</v>
      </c>
      <c r="D103" s="8">
        <f t="shared" ca="1" si="13"/>
        <v>10.076988041507908</v>
      </c>
      <c r="E103" s="4">
        <f t="shared" ca="1" si="16"/>
        <v>7.0593183452918998E-2</v>
      </c>
      <c r="F103" s="4">
        <f t="shared" ca="1" si="21"/>
        <v>1.3454176400281181E-2</v>
      </c>
      <c r="G103" s="4">
        <f t="shared" ca="1" si="21"/>
        <v>5.385663275923977E-2</v>
      </c>
      <c r="H103" s="8">
        <f t="shared" ca="1" si="12"/>
        <v>5.9899187659839551E-2</v>
      </c>
      <c r="I103" s="4">
        <f t="shared" ca="1" si="18"/>
        <v>4.2667770303118441E-2</v>
      </c>
      <c r="J103" s="4">
        <f t="shared" si="19"/>
        <v>0</v>
      </c>
      <c r="K103" s="8">
        <f t="shared" ca="1" si="14"/>
        <v>5.1283478981478996E-2</v>
      </c>
      <c r="L103" s="8">
        <f t="shared" ca="1" si="20"/>
        <v>1.723141735672111E-2</v>
      </c>
    </row>
    <row r="104" spans="1:12" x14ac:dyDescent="0.4">
      <c r="A104" s="5">
        <v>92</v>
      </c>
      <c r="B104" s="4">
        <f t="shared" si="15"/>
        <v>9.2000000000000011</v>
      </c>
      <c r="C104" s="4">
        <v>10</v>
      </c>
      <c r="D104" s="8">
        <f t="shared" ca="1" si="13"/>
        <v>10.021958996322216</v>
      </c>
      <c r="E104" s="4">
        <f t="shared" ca="1" si="16"/>
        <v>8.504819921934359E-3</v>
      </c>
      <c r="F104" s="4">
        <f t="shared" ca="1" si="21"/>
        <v>1.4304658392474617E-2</v>
      </c>
      <c r="G104" s="4">
        <f t="shared" ca="1" si="21"/>
        <v>5.5287098598487232E-2</v>
      </c>
      <c r="H104" s="8">
        <f t="shared" ca="1" si="12"/>
        <v>7.124159923503344E-2</v>
      </c>
      <c r="I104" s="4">
        <f t="shared" ca="1" si="18"/>
        <v>4.4390912038790552E-2</v>
      </c>
      <c r="J104" s="4">
        <f t="shared" si="19"/>
        <v>0</v>
      </c>
      <c r="K104" s="8">
        <f t="shared" ca="1" si="14"/>
        <v>5.7816255636911992E-2</v>
      </c>
      <c r="L104" s="8">
        <f t="shared" ca="1" si="20"/>
        <v>2.6850687196242888E-2</v>
      </c>
    </row>
    <row r="105" spans="1:12" x14ac:dyDescent="0.4">
      <c r="A105" s="5">
        <v>93</v>
      </c>
      <c r="B105" s="4">
        <f t="shared" si="15"/>
        <v>9.3000000000000007</v>
      </c>
      <c r="C105" s="4">
        <v>10</v>
      </c>
      <c r="D105" s="8">
        <f t="shared" ca="1" si="13"/>
        <v>9.933814138798903</v>
      </c>
      <c r="E105" s="4">
        <f t="shared" ca="1" si="16"/>
        <v>-8.0490519593571661E-2</v>
      </c>
      <c r="F105" s="4">
        <f t="shared" ca="1" si="21"/>
        <v>6.2556064331174503E-3</v>
      </c>
      <c r="G105" s="4">
        <f t="shared" ca="1" si="21"/>
        <v>5.591265924179898E-2</v>
      </c>
      <c r="H105" s="8">
        <f t="shared" ca="1" si="12"/>
        <v>8.5625182269538996E-2</v>
      </c>
      <c r="I105" s="4">
        <f t="shared" ca="1" si="18"/>
        <v>4.7075980758414841E-2</v>
      </c>
      <c r="J105" s="4">
        <f t="shared" si="19"/>
        <v>0</v>
      </c>
      <c r="K105" s="8">
        <f t="shared" ca="1" si="14"/>
        <v>6.6350581513976922E-2</v>
      </c>
      <c r="L105" s="8">
        <f t="shared" ca="1" si="20"/>
        <v>3.8549201511124155E-2</v>
      </c>
    </row>
    <row r="106" spans="1:12" x14ac:dyDescent="0.4">
      <c r="A106" s="5">
        <v>94</v>
      </c>
      <c r="B106" s="4">
        <f t="shared" si="15"/>
        <v>9.4</v>
      </c>
      <c r="C106" s="4">
        <v>10</v>
      </c>
      <c r="D106" s="8">
        <f t="shared" ca="1" si="13"/>
        <v>9.8807728338385914</v>
      </c>
      <c r="E106" s="4">
        <f t="shared" ca="1" si="16"/>
        <v>-0.12548277259452606</v>
      </c>
      <c r="F106" s="4">
        <f t="shared" ca="1" si="21"/>
        <v>-6.2926708263351568E-3</v>
      </c>
      <c r="G106" s="4">
        <f t="shared" ca="1" si="21"/>
        <v>5.5283392159165466E-2</v>
      </c>
      <c r="H106" s="8">
        <f t="shared" ca="1" si="12"/>
        <v>5.3699962345407463E-2</v>
      </c>
      <c r="I106" s="4">
        <f t="shared" ca="1" si="18"/>
        <v>5.093090090952726E-2</v>
      </c>
      <c r="J106" s="4">
        <f t="shared" si="19"/>
        <v>0</v>
      </c>
      <c r="K106" s="8">
        <f t="shared" ca="1" si="14"/>
        <v>5.2315431627467365E-2</v>
      </c>
      <c r="L106" s="8">
        <f t="shared" ca="1" si="20"/>
        <v>2.7690614358802032E-3</v>
      </c>
    </row>
    <row r="107" spans="1:12" x14ac:dyDescent="0.4">
      <c r="A107" s="5">
        <v>95</v>
      </c>
      <c r="B107" s="4">
        <f t="shared" si="15"/>
        <v>9.5</v>
      </c>
      <c r="C107" s="4">
        <v>10</v>
      </c>
      <c r="D107" s="8">
        <f t="shared" ca="1" si="13"/>
        <v>10.15382590220521</v>
      </c>
      <c r="E107" s="4">
        <f t="shared" ca="1" si="16"/>
        <v>0.1601185730315447</v>
      </c>
      <c r="F107" s="4">
        <f t="shared" ca="1" si="21"/>
        <v>9.7191864768193144E-3</v>
      </c>
      <c r="G107" s="4">
        <f t="shared" ca="1" si="21"/>
        <v>5.6255310806847397E-2</v>
      </c>
      <c r="H107" s="8">
        <f t="shared" ca="1" si="12"/>
        <v>5.0906181560007202E-2</v>
      </c>
      <c r="I107" s="4">
        <f t="shared" ca="1" si="18"/>
        <v>5.1207807053115284E-2</v>
      </c>
      <c r="J107" s="4">
        <f t="shared" si="19"/>
        <v>0</v>
      </c>
      <c r="K107" s="8">
        <f t="shared" ca="1" si="14"/>
        <v>5.1056994306561243E-2</v>
      </c>
      <c r="L107" s="8">
        <f t="shared" ca="1" si="20"/>
        <v>-3.0162549310808195E-4</v>
      </c>
    </row>
    <row r="108" spans="1:12" x14ac:dyDescent="0.4">
      <c r="A108" s="5">
        <v>96</v>
      </c>
      <c r="B108" s="4">
        <f t="shared" si="15"/>
        <v>9.6000000000000014</v>
      </c>
      <c r="C108" s="4">
        <v>10</v>
      </c>
      <c r="D108" s="8">
        <f t="shared" ca="1" si="13"/>
        <v>9.9507381387090827</v>
      </c>
      <c r="E108" s="4">
        <f t="shared" ca="1" si="16"/>
        <v>-5.8981047767736564E-2</v>
      </c>
      <c r="F108" s="4">
        <f t="shared" ca="1" si="21"/>
        <v>3.8210817000456573E-3</v>
      </c>
      <c r="G108" s="4">
        <f t="shared" ca="1" si="21"/>
        <v>5.6637418976851962E-2</v>
      </c>
      <c r="H108" s="8">
        <f t="shared" ca="1" si="12"/>
        <v>5.2206264490090762E-2</v>
      </c>
      <c r="I108" s="4">
        <f t="shared" ca="1" si="18"/>
        <v>5.1177644503804479E-2</v>
      </c>
      <c r="J108" s="4">
        <f t="shared" si="19"/>
        <v>0</v>
      </c>
      <c r="K108" s="8">
        <f t="shared" ca="1" si="14"/>
        <v>5.169195449694762E-2</v>
      </c>
      <c r="L108" s="8">
        <f t="shared" ca="1" si="20"/>
        <v>1.0286199862862833E-3</v>
      </c>
    </row>
    <row r="109" spans="1:12" x14ac:dyDescent="0.4">
      <c r="A109" s="5">
        <v>97</v>
      </c>
      <c r="B109" s="4">
        <f t="shared" si="15"/>
        <v>9.7000000000000011</v>
      </c>
      <c r="C109" s="4">
        <v>10</v>
      </c>
      <c r="D109" s="8">
        <f t="shared" ca="1" si="13"/>
        <v>9.9210812927882728</v>
      </c>
      <c r="E109" s="4">
        <f t="shared" ca="1" si="16"/>
        <v>-8.2739788911772888E-2</v>
      </c>
      <c r="F109" s="4">
        <f t="shared" ca="1" si="21"/>
        <v>-4.4528971911316322E-3</v>
      </c>
      <c r="G109" s="4">
        <f t="shared" ca="1" si="21"/>
        <v>5.6192129257738796E-2</v>
      </c>
      <c r="H109" s="8">
        <f t="shared" ca="1" si="12"/>
        <v>5.5245745623301097E-2</v>
      </c>
      <c r="I109" s="4">
        <f t="shared" ca="1" si="18"/>
        <v>5.1280506502433106E-2</v>
      </c>
      <c r="J109" s="4">
        <f t="shared" si="19"/>
        <v>0</v>
      </c>
      <c r="K109" s="8">
        <f t="shared" ca="1" si="14"/>
        <v>5.3263126062867101E-2</v>
      </c>
      <c r="L109" s="8">
        <f t="shared" ca="1" si="20"/>
        <v>3.9652391208679916E-3</v>
      </c>
    </row>
    <row r="110" spans="1:12" x14ac:dyDescent="0.4">
      <c r="A110" s="5">
        <v>98</v>
      </c>
      <c r="B110" s="4">
        <f t="shared" si="15"/>
        <v>9.8000000000000007</v>
      </c>
      <c r="C110" s="4">
        <v>10</v>
      </c>
      <c r="D110" s="8">
        <f t="shared" ca="1" si="13"/>
        <v>10.109545302723873</v>
      </c>
      <c r="E110" s="4">
        <f t="shared" ca="1" si="16"/>
        <v>0.11399819991500494</v>
      </c>
      <c r="F110" s="4">
        <f t="shared" ref="F110:G112" ca="1" si="22">F109+E110*$E$2</f>
        <v>6.9469228003688627E-3</v>
      </c>
      <c r="G110" s="4">
        <f t="shared" ca="1" si="22"/>
        <v>5.6886821537775682E-2</v>
      </c>
      <c r="H110" s="8">
        <f t="shared" ca="1" si="12"/>
        <v>6.6690466756149619E-2</v>
      </c>
      <c r="I110" s="4">
        <f t="shared" ca="1" si="18"/>
        <v>5.1677030414519903E-2</v>
      </c>
      <c r="J110" s="4">
        <f t="shared" si="19"/>
        <v>0</v>
      </c>
      <c r="K110" s="8">
        <f t="shared" ca="1" si="14"/>
        <v>5.9183748585334761E-2</v>
      </c>
      <c r="L110" s="8">
        <f t="shared" ca="1" si="20"/>
        <v>1.5013436341629717E-2</v>
      </c>
    </row>
    <row r="111" spans="1:12" x14ac:dyDescent="0.4">
      <c r="A111" s="5">
        <v>99</v>
      </c>
      <c r="B111" s="4">
        <f t="shared" si="15"/>
        <v>9.9</v>
      </c>
      <c r="C111" s="4">
        <v>10</v>
      </c>
      <c r="D111" s="8">
        <f t="shared" ca="1" si="13"/>
        <v>10.199670262140218</v>
      </c>
      <c r="E111" s="4">
        <f t="shared" ca="1" si="16"/>
        <v>0.19272333933984936</v>
      </c>
      <c r="F111" s="4">
        <f t="shared" ca="1" si="22"/>
        <v>2.62192567343538E-2</v>
      </c>
      <c r="G111" s="4">
        <f t="shared" ca="1" si="22"/>
        <v>5.9508747211211063E-2</v>
      </c>
      <c r="H111" s="8">
        <f t="shared" ca="1" si="12"/>
        <v>6.1534606883363367E-2</v>
      </c>
      <c r="I111" s="4">
        <f t="shared" ca="1" si="18"/>
        <v>5.3178374048682878E-2</v>
      </c>
      <c r="J111" s="4">
        <f t="shared" si="19"/>
        <v>0</v>
      </c>
      <c r="K111" s="8">
        <f t="shared" ca="1" si="14"/>
        <v>5.7356490466023119E-2</v>
      </c>
      <c r="L111" s="8">
        <f t="shared" ca="1" si="20"/>
        <v>8.3562328346804896E-3</v>
      </c>
    </row>
    <row r="112" spans="1:12" x14ac:dyDescent="0.4">
      <c r="A112" s="5">
        <v>100</v>
      </c>
      <c r="B112" s="4">
        <f t="shared" si="15"/>
        <v>10</v>
      </c>
      <c r="C112" s="4">
        <v>10</v>
      </c>
      <c r="D112" s="8">
        <f t="shared" ca="1" si="13"/>
        <v>9.904095248813416</v>
      </c>
      <c r="E112" s="4">
        <f t="shared" ca="1" si="16"/>
        <v>-0.12212400792093783</v>
      </c>
      <c r="F112" s="4">
        <f t="shared" ca="1" si="22"/>
        <v>1.4006855942260015E-2</v>
      </c>
      <c r="G112" s="4">
        <f t="shared" ca="1" si="22"/>
        <v>6.0909432805437064E-2</v>
      </c>
      <c r="H112" s="8">
        <f t="shared" ca="1" si="12"/>
        <v>4.986416185969187E-2</v>
      </c>
      <c r="I112" s="4">
        <f t="shared" ca="1" si="18"/>
        <v>5.4013997332150926E-2</v>
      </c>
      <c r="J112" s="4">
        <f t="shared" si="19"/>
        <v>0</v>
      </c>
      <c r="K112" s="8">
        <f t="shared" ca="1" si="14"/>
        <v>5.1939079595921395E-2</v>
      </c>
      <c r="L112" s="8">
        <f t="shared" ca="1" si="20"/>
        <v>-4.1498354724590555E-3</v>
      </c>
    </row>
    <row r="113" spans="8:8" x14ac:dyDescent="0.4">
      <c r="H113" s="8"/>
    </row>
  </sheetData>
  <mergeCells count="4">
    <mergeCell ref="A1:A2"/>
    <mergeCell ref="A3:A4"/>
    <mergeCell ref="A5:A6"/>
    <mergeCell ref="A7:A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58C3A-2088-47C1-9C16-96C8D6D6DF4B}">
  <dimension ref="A1:S113"/>
  <sheetViews>
    <sheetView topLeftCell="G43" zoomScale="55" zoomScaleNormal="55" workbookViewId="0">
      <selection activeCell="C9" sqref="C9"/>
    </sheetView>
  </sheetViews>
  <sheetFormatPr defaultColWidth="9.25" defaultRowHeight="20" x14ac:dyDescent="0.4"/>
  <cols>
    <col min="1" max="1" width="9.5625" style="4" bestFit="1" customWidth="1"/>
    <col min="2" max="2" width="21.3125" style="4" bestFit="1" customWidth="1"/>
    <col min="3" max="3" width="25.5625" style="4" bestFit="1" customWidth="1"/>
    <col min="4" max="4" width="24.3125" style="4" bestFit="1" customWidth="1"/>
    <col min="5" max="5" width="23.8125" style="4" bestFit="1" customWidth="1"/>
    <col min="6" max="6" width="20.0625" style="4" bestFit="1" customWidth="1"/>
    <col min="7" max="7" width="18.3125" style="4" bestFit="1" customWidth="1"/>
    <col min="8" max="8" width="25.25" style="4" bestFit="1" customWidth="1"/>
    <col min="9" max="9" width="19.0625" style="4" bestFit="1" customWidth="1"/>
    <col min="10" max="10" width="20.75" style="4" bestFit="1" customWidth="1"/>
    <col min="11" max="11" width="19.8125" style="4" bestFit="1" customWidth="1"/>
    <col min="12" max="12" width="21.5625" style="4" bestFit="1" customWidth="1"/>
    <col min="13" max="16384" width="9.25" style="4"/>
  </cols>
  <sheetData>
    <row r="1" spans="1:19" s="2" customFormat="1" x14ac:dyDescent="0.4">
      <c r="A1" s="13" t="s">
        <v>0</v>
      </c>
      <c r="B1" s="1" t="s">
        <v>7</v>
      </c>
      <c r="C1" s="1" t="s">
        <v>5</v>
      </c>
      <c r="D1" s="1" t="s">
        <v>4</v>
      </c>
      <c r="E1" s="1" t="s">
        <v>3</v>
      </c>
      <c r="F1" s="12"/>
      <c r="G1" s="12"/>
    </row>
    <row r="2" spans="1:19" s="2" customFormat="1" x14ac:dyDescent="0.4">
      <c r="A2" s="13"/>
      <c r="B2" s="2">
        <v>1</v>
      </c>
      <c r="C2" s="2">
        <v>-10</v>
      </c>
      <c r="D2" s="2">
        <v>-1</v>
      </c>
      <c r="E2" s="2">
        <v>0.1</v>
      </c>
    </row>
    <row r="3" spans="1:19" s="2" customFormat="1" x14ac:dyDescent="0.4">
      <c r="A3" s="14" t="s">
        <v>2</v>
      </c>
      <c r="B3" s="3" t="s">
        <v>6</v>
      </c>
      <c r="C3" s="3" t="s">
        <v>8</v>
      </c>
    </row>
    <row r="4" spans="1:19" s="2" customFormat="1" x14ac:dyDescent="0.4">
      <c r="A4" s="14"/>
      <c r="B4" s="2">
        <v>0</v>
      </c>
      <c r="C4" s="2">
        <v>0</v>
      </c>
    </row>
    <row r="5" spans="1:19" s="2" customFormat="1" x14ac:dyDescent="0.4">
      <c r="A5" s="15" t="s">
        <v>10</v>
      </c>
      <c r="B5" s="10" t="s">
        <v>12</v>
      </c>
      <c r="C5" s="10" t="s">
        <v>11</v>
      </c>
      <c r="D5" s="7"/>
    </row>
    <row r="6" spans="1:19" s="2" customFormat="1" x14ac:dyDescent="0.4">
      <c r="A6" s="16"/>
      <c r="B6" s="2">
        <v>0.1</v>
      </c>
      <c r="C6" s="2">
        <v>0.01</v>
      </c>
    </row>
    <row r="7" spans="1:19" s="2" customFormat="1" x14ac:dyDescent="0.4">
      <c r="A7" s="17" t="s">
        <v>0</v>
      </c>
      <c r="B7" s="11" t="s">
        <v>23</v>
      </c>
      <c r="C7" s="11" t="s">
        <v>24</v>
      </c>
    </row>
    <row r="8" spans="1:19" s="2" customFormat="1" x14ac:dyDescent="0.4">
      <c r="A8" s="18"/>
      <c r="B8" s="2">
        <v>0.5</v>
      </c>
      <c r="C8" s="2">
        <v>0.1</v>
      </c>
    </row>
    <row r="9" spans="1:19" x14ac:dyDescent="0.4">
      <c r="O9" s="2"/>
      <c r="P9" s="2"/>
      <c r="Q9" s="2"/>
      <c r="R9" s="2"/>
      <c r="S9" s="2"/>
    </row>
    <row r="10" spans="1:19" x14ac:dyDescent="0.4">
      <c r="O10" s="2"/>
      <c r="P10" s="2"/>
      <c r="Q10" s="2"/>
      <c r="R10" s="2"/>
      <c r="S10" s="2"/>
    </row>
    <row r="11" spans="1:19" x14ac:dyDescent="0.4">
      <c r="A11" s="9" t="s">
        <v>1</v>
      </c>
      <c r="B11" s="9" t="s">
        <v>9</v>
      </c>
      <c r="C11" s="9" t="s">
        <v>13</v>
      </c>
      <c r="D11" s="9" t="s">
        <v>18</v>
      </c>
      <c r="E11" s="9" t="s">
        <v>14</v>
      </c>
      <c r="F11" s="9" t="s">
        <v>15</v>
      </c>
      <c r="G11" s="9" t="s">
        <v>16</v>
      </c>
      <c r="H11" s="9" t="s">
        <v>17</v>
      </c>
      <c r="I11" s="9" t="s">
        <v>22</v>
      </c>
      <c r="J11" s="9" t="s">
        <v>21</v>
      </c>
      <c r="K11" s="9" t="s">
        <v>19</v>
      </c>
      <c r="L11" s="9" t="s">
        <v>20</v>
      </c>
      <c r="O11" s="2"/>
      <c r="P11" s="2"/>
      <c r="Q11" s="2"/>
      <c r="R11" s="2"/>
      <c r="S11" s="2"/>
    </row>
    <row r="12" spans="1:19" x14ac:dyDescent="0.4">
      <c r="A12" s="5">
        <v>0</v>
      </c>
      <c r="B12" s="4">
        <v>0</v>
      </c>
      <c r="C12" s="4">
        <f>10+2*SIN(B12*2*PI()/10)</f>
        <v>10</v>
      </c>
      <c r="D12" s="8">
        <f t="shared" ref="D12:D76" ca="1" si="0">C12+IF($B$6&lt;=0,0,_xlfn.NORM.INV(RAND(),0,$B$6))</f>
        <v>10.150529850961682</v>
      </c>
      <c r="E12" s="6">
        <f ca="1">(D12+$C$2+$D$2*$B$4)/$B$2</f>
        <v>0.15052985096168214</v>
      </c>
      <c r="F12" s="6">
        <f>$B$4</f>
        <v>0</v>
      </c>
      <c r="G12" s="6">
        <f>$C$4</f>
        <v>0</v>
      </c>
      <c r="H12" s="6">
        <f t="shared" ref="H12:H75" ca="1" si="1">G12+IF($C$6&lt;=0,0,_xlfn.NORM.INV(RAND(),0,$C$6))</f>
        <v>5.9288257678273941E-3</v>
      </c>
      <c r="I12" s="6">
        <f ca="1">$H$12</f>
        <v>5.9288257678273941E-3</v>
      </c>
      <c r="J12" s="6">
        <v>0</v>
      </c>
      <c r="K12" s="8">
        <f ca="1">I12+$B$8*(H12-I12)</f>
        <v>5.9288257678273941E-3</v>
      </c>
      <c r="L12" s="8">
        <f ca="1">J12+$C$8*(H12-I12)/$E$2</f>
        <v>0</v>
      </c>
      <c r="O12" s="2"/>
      <c r="P12" s="2"/>
      <c r="Q12" s="2"/>
      <c r="R12" s="2"/>
      <c r="S12" s="2"/>
    </row>
    <row r="13" spans="1:19" x14ac:dyDescent="0.4">
      <c r="A13" s="5">
        <v>1</v>
      </c>
      <c r="B13" s="4">
        <f>A13*$E$2</f>
        <v>0.1</v>
      </c>
      <c r="C13" s="4">
        <f t="shared" ref="C13:C76" si="2">10+2*SIN(B13*2*PI()/10)</f>
        <v>10.125581039058627</v>
      </c>
      <c r="D13" s="8">
        <f t="shared" ca="1" si="0"/>
        <v>10.109555340690934</v>
      </c>
      <c r="E13" s="4">
        <f ca="1">(D13+$C$2+$D$2*F12)/$B$2</f>
        <v>0.10955534069093353</v>
      </c>
      <c r="F13" s="4">
        <f ca="1">F12+E13*$E$2</f>
        <v>1.0955534069093354E-2</v>
      </c>
      <c r="G13" s="4">
        <f ca="1">G12+F13*$E$2</f>
        <v>1.0955534069093354E-3</v>
      </c>
      <c r="H13" s="8">
        <f t="shared" ca="1" si="1"/>
        <v>2.5286860717951983E-3</v>
      </c>
      <c r="I13" s="4">
        <f ca="1">I12+L12*$E$2</f>
        <v>5.9288257678273941E-3</v>
      </c>
      <c r="J13" s="4">
        <f>(1+$D$2*$E$2/$B$2)*J12+$E$2*(C12+$C$2)/$B$2</f>
        <v>0</v>
      </c>
      <c r="K13" s="8">
        <f t="shared" ref="K13:K76" ca="1" si="3">I13+$B$8*(H13-I13)</f>
        <v>4.2287559198112964E-3</v>
      </c>
      <c r="L13" s="8">
        <f ca="1">J13+$C$8*(H13-I13)/$E$2</f>
        <v>-3.4001396960321958E-3</v>
      </c>
      <c r="O13" s="2"/>
      <c r="P13" s="2"/>
      <c r="Q13" s="2"/>
      <c r="R13" s="2"/>
      <c r="S13" s="2"/>
    </row>
    <row r="14" spans="1:19" x14ac:dyDescent="0.4">
      <c r="A14" s="5">
        <v>2</v>
      </c>
      <c r="B14" s="4">
        <f t="shared" ref="B14:B77" si="4">A14*$E$2</f>
        <v>0.2</v>
      </c>
      <c r="C14" s="4">
        <f t="shared" si="2"/>
        <v>10.250666467128609</v>
      </c>
      <c r="D14" s="8">
        <f t="shared" ca="1" si="0"/>
        <v>10.301029343598797</v>
      </c>
      <c r="E14" s="4">
        <f t="shared" ref="E14:E77" ca="1" si="5">(D14+$C$2+$D$2*F13)/$B$2</f>
        <v>0.29007380952970385</v>
      </c>
      <c r="F14" s="4">
        <f t="shared" ref="F14:G29" ca="1" si="6">F13+E14*$E$2</f>
        <v>3.9962915022063741E-2</v>
      </c>
      <c r="G14" s="4">
        <f t="shared" ca="1" si="6"/>
        <v>5.0918449091157097E-3</v>
      </c>
      <c r="H14" s="8">
        <f t="shared" ca="1" si="1"/>
        <v>4.4403741598756123E-3</v>
      </c>
      <c r="I14" s="4">
        <f t="shared" ref="I14:I77" ca="1" si="7">I13+L13*$E$2</f>
        <v>5.5888117982241742E-3</v>
      </c>
      <c r="J14" s="4">
        <f t="shared" ref="J14:J77" si="8">(1+$D$2*$E$2/$B$2)*J13+$E$2*(C13+$C$2)/$B$2</f>
        <v>1.2558103905862695E-2</v>
      </c>
      <c r="K14" s="8">
        <f t="shared" ca="1" si="3"/>
        <v>5.0145929790498932E-3</v>
      </c>
      <c r="L14" s="8">
        <f t="shared" ref="L14:L77" ca="1" si="9">J14+$C$8*(H14-I14)/$E$2</f>
        <v>1.1409666267514133E-2</v>
      </c>
      <c r="O14" s="2"/>
      <c r="P14" s="2"/>
      <c r="Q14" s="2"/>
      <c r="R14" s="2"/>
      <c r="S14" s="2"/>
    </row>
    <row r="15" spans="1:19" x14ac:dyDescent="0.4">
      <c r="A15" s="5">
        <v>3</v>
      </c>
      <c r="B15" s="4">
        <f t="shared" si="4"/>
        <v>0.30000000000000004</v>
      </c>
      <c r="C15" s="4">
        <f t="shared" si="2"/>
        <v>10.37476262917145</v>
      </c>
      <c r="D15" s="8">
        <f t="shared" ca="1" si="0"/>
        <v>10.314770567467988</v>
      </c>
      <c r="E15" s="4">
        <f t="shared" ca="1" si="5"/>
        <v>0.27480765244592464</v>
      </c>
      <c r="F15" s="4">
        <f t="shared" ca="1" si="6"/>
        <v>6.7443680266656203E-2</v>
      </c>
      <c r="G15" s="4">
        <f t="shared" ca="1" si="6"/>
        <v>1.183621293578133E-2</v>
      </c>
      <c r="H15" s="8">
        <f t="shared" ca="1" si="1"/>
        <v>1.2456202996769956E-2</v>
      </c>
      <c r="I15" s="4">
        <f t="shared" ca="1" si="7"/>
        <v>6.7297784249755873E-3</v>
      </c>
      <c r="J15" s="4">
        <f t="shared" si="8"/>
        <v>3.6368940228137275E-2</v>
      </c>
      <c r="K15" s="8">
        <f ca="1">I15+$B$8*(H15-I15)</f>
        <v>9.5929907108727713E-3</v>
      </c>
      <c r="L15" s="8">
        <f t="shared" ca="1" si="9"/>
        <v>4.2095364799931645E-2</v>
      </c>
      <c r="O15" s="2"/>
      <c r="P15" s="2"/>
      <c r="Q15" s="2"/>
      <c r="R15" s="2"/>
      <c r="S15" s="2"/>
    </row>
    <row r="16" spans="1:19" x14ac:dyDescent="0.4">
      <c r="A16" s="5">
        <v>4</v>
      </c>
      <c r="B16" s="4">
        <f t="shared" si="4"/>
        <v>0.4</v>
      </c>
      <c r="C16" s="4">
        <f t="shared" si="2"/>
        <v>10.49737977432971</v>
      </c>
      <c r="D16" s="8">
        <f t="shared" ca="1" si="0"/>
        <v>10.502190187633735</v>
      </c>
      <c r="E16" s="4">
        <f t="shared" ca="1" si="5"/>
        <v>0.43474650736707871</v>
      </c>
      <c r="F16" s="4">
        <f t="shared" ca="1" si="6"/>
        <v>0.11091833100336407</v>
      </c>
      <c r="G16" s="4">
        <f t="shared" ca="1" si="6"/>
        <v>2.2928046036117738E-2</v>
      </c>
      <c r="H16" s="8">
        <f t="shared" ca="1" si="1"/>
        <v>-8.1585728816247378E-3</v>
      </c>
      <c r="I16" s="4">
        <f t="shared" ca="1" si="7"/>
        <v>1.0939314904968751E-2</v>
      </c>
      <c r="J16" s="4">
        <f t="shared" si="8"/>
        <v>7.0208309122468518E-2</v>
      </c>
      <c r="K16" s="8">
        <f t="shared" ca="1" si="3"/>
        <v>1.3903710116720067E-3</v>
      </c>
      <c r="L16" s="8">
        <f t="shared" ca="1" si="9"/>
        <v>5.1110421335875025E-2</v>
      </c>
      <c r="O16" s="2"/>
      <c r="P16" s="2"/>
      <c r="Q16" s="2"/>
      <c r="R16" s="2"/>
      <c r="S16" s="2"/>
    </row>
    <row r="17" spans="1:19" x14ac:dyDescent="0.4">
      <c r="A17" s="5">
        <v>5</v>
      </c>
      <c r="B17" s="4">
        <f t="shared" si="4"/>
        <v>0.5</v>
      </c>
      <c r="C17" s="4">
        <f t="shared" si="2"/>
        <v>10.618033988749895</v>
      </c>
      <c r="D17" s="8">
        <f t="shared" ca="1" si="0"/>
        <v>10.78759649284415</v>
      </c>
      <c r="E17" s="4">
        <f t="shared" ca="1" si="5"/>
        <v>0.676678161840786</v>
      </c>
      <c r="F17" s="4">
        <f t="shared" ca="1" si="6"/>
        <v>0.17858614718744267</v>
      </c>
      <c r="G17" s="4">
        <f t="shared" ca="1" si="6"/>
        <v>4.0786660754862009E-2</v>
      </c>
      <c r="H17" s="8">
        <f t="shared" ca="1" si="1"/>
        <v>3.364734976935109E-2</v>
      </c>
      <c r="I17" s="4">
        <f t="shared" ca="1" si="7"/>
        <v>1.6050357038556253E-2</v>
      </c>
      <c r="J17" s="4">
        <f t="shared" si="8"/>
        <v>0.11292545564319267</v>
      </c>
      <c r="K17" s="8">
        <f t="shared" ca="1" si="3"/>
        <v>2.4848853403953673E-2</v>
      </c>
      <c r="L17" s="8">
        <f t="shared" ca="1" si="9"/>
        <v>0.13052244837398752</v>
      </c>
      <c r="O17" s="2"/>
      <c r="P17" s="2"/>
      <c r="Q17" s="2"/>
      <c r="R17" s="2"/>
      <c r="S17" s="2"/>
    </row>
    <row r="18" spans="1:19" x14ac:dyDescent="0.4">
      <c r="A18" s="5">
        <v>6</v>
      </c>
      <c r="B18" s="4">
        <f t="shared" si="4"/>
        <v>0.60000000000000009</v>
      </c>
      <c r="C18" s="4">
        <f t="shared" si="2"/>
        <v>10.736249105369357</v>
      </c>
      <c r="D18" s="8">
        <f t="shared" ca="1" si="0"/>
        <v>10.766953964169611</v>
      </c>
      <c r="E18" s="4">
        <f t="shared" ca="1" si="5"/>
        <v>0.58836781698216811</v>
      </c>
      <c r="F18" s="4">
        <f t="shared" ca="1" si="6"/>
        <v>0.2374229288856595</v>
      </c>
      <c r="G18" s="4">
        <f t="shared" ca="1" si="6"/>
        <v>6.4528953643427964E-2</v>
      </c>
      <c r="H18" s="8">
        <f t="shared" ca="1" si="1"/>
        <v>7.0714912614520523E-2</v>
      </c>
      <c r="I18" s="4">
        <f t="shared" ca="1" si="7"/>
        <v>2.9102601875955005E-2</v>
      </c>
      <c r="J18" s="4">
        <f t="shared" si="8"/>
        <v>0.16343630895386291</v>
      </c>
      <c r="K18" s="8">
        <f t="shared" ca="1" si="3"/>
        <v>4.9908757245237759E-2</v>
      </c>
      <c r="L18" s="8">
        <f t="shared" ca="1" si="9"/>
        <v>0.20504861969242844</v>
      </c>
      <c r="O18" s="2"/>
    </row>
    <row r="19" spans="1:19" x14ac:dyDescent="0.4">
      <c r="A19" s="5">
        <v>7</v>
      </c>
      <c r="B19" s="4">
        <f t="shared" si="4"/>
        <v>0.70000000000000007</v>
      </c>
      <c r="C19" s="4">
        <f t="shared" si="2"/>
        <v>10.851558583130146</v>
      </c>
      <c r="D19" s="8">
        <f t="shared" ca="1" si="0"/>
        <v>10.728805849384273</v>
      </c>
      <c r="E19" s="4">
        <f t="shared" ca="1" si="5"/>
        <v>0.4913829204986131</v>
      </c>
      <c r="F19" s="4">
        <f t="shared" ca="1" si="6"/>
        <v>0.28656122093552083</v>
      </c>
      <c r="G19" s="4">
        <f t="shared" ca="1" si="6"/>
        <v>9.3185075736980053E-2</v>
      </c>
      <c r="H19" s="8">
        <f t="shared" ca="1" si="1"/>
        <v>9.2581463050407695E-2</v>
      </c>
      <c r="I19" s="4">
        <f t="shared" ca="1" si="7"/>
        <v>4.9607463845197847E-2</v>
      </c>
      <c r="J19" s="4">
        <f t="shared" si="8"/>
        <v>0.2207175885954123</v>
      </c>
      <c r="K19" s="8">
        <f t="shared" ca="1" si="3"/>
        <v>7.1094463447802764E-2</v>
      </c>
      <c r="L19" s="8">
        <f t="shared" ca="1" si="9"/>
        <v>0.26369158780062213</v>
      </c>
      <c r="O19" s="2"/>
    </row>
    <row r="20" spans="1:19" x14ac:dyDescent="0.4">
      <c r="A20" s="5">
        <v>8</v>
      </c>
      <c r="B20" s="4">
        <f t="shared" si="4"/>
        <v>0.8</v>
      </c>
      <c r="C20" s="4">
        <f t="shared" si="2"/>
        <v>10.96350734820343</v>
      </c>
      <c r="D20" s="8">
        <f t="shared" ca="1" si="0"/>
        <v>11.049823911366259</v>
      </c>
      <c r="E20" s="4">
        <f t="shared" ca="1" si="5"/>
        <v>0.76326269043073802</v>
      </c>
      <c r="F20" s="4">
        <f t="shared" ca="1" si="6"/>
        <v>0.36288748997859466</v>
      </c>
      <c r="G20" s="4">
        <f t="shared" ca="1" si="6"/>
        <v>0.12947382473483951</v>
      </c>
      <c r="H20" s="8">
        <f t="shared" ca="1" si="1"/>
        <v>0.1310467843715363</v>
      </c>
      <c r="I20" s="4">
        <f t="shared" ca="1" si="7"/>
        <v>7.597662262526006E-2</v>
      </c>
      <c r="J20" s="4">
        <f t="shared" si="8"/>
        <v>0.28380168804888567</v>
      </c>
      <c r="K20" s="8">
        <f t="shared" ca="1" si="3"/>
        <v>0.10351170349839818</v>
      </c>
      <c r="L20" s="8">
        <f t="shared" ca="1" si="9"/>
        <v>0.33887184979516194</v>
      </c>
      <c r="O20" s="2"/>
    </row>
    <row r="21" spans="1:19" x14ac:dyDescent="0.4">
      <c r="A21" s="5">
        <v>9</v>
      </c>
      <c r="B21" s="4">
        <f t="shared" si="4"/>
        <v>0.9</v>
      </c>
      <c r="C21" s="4">
        <f t="shared" si="2"/>
        <v>11.071653589957993</v>
      </c>
      <c r="D21" s="8">
        <f t="shared" ca="1" si="0"/>
        <v>11.212515735793056</v>
      </c>
      <c r="E21" s="4">
        <f t="shared" ca="1" si="5"/>
        <v>0.84962824581446184</v>
      </c>
      <c r="F21" s="4">
        <f t="shared" ca="1" si="6"/>
        <v>0.44785031456004087</v>
      </c>
      <c r="G21" s="4">
        <f t="shared" ca="1" si="6"/>
        <v>0.17425885619084361</v>
      </c>
      <c r="H21" s="8">
        <f t="shared" ca="1" si="1"/>
        <v>0.17286466052100288</v>
      </c>
      <c r="I21" s="4">
        <f t="shared" ca="1" si="7"/>
        <v>0.10986380760477626</v>
      </c>
      <c r="J21" s="4">
        <f t="shared" si="8"/>
        <v>0.35177225406434015</v>
      </c>
      <c r="K21" s="8">
        <f t="shared" ca="1" si="3"/>
        <v>0.14136423406288956</v>
      </c>
      <c r="L21" s="8">
        <f t="shared" ca="1" si="9"/>
        <v>0.4147731069805668</v>
      </c>
      <c r="O21" s="2"/>
    </row>
    <row r="22" spans="1:19" x14ac:dyDescent="0.4">
      <c r="A22" s="5">
        <v>10</v>
      </c>
      <c r="B22" s="4">
        <f t="shared" si="4"/>
        <v>1</v>
      </c>
      <c r="C22" s="4">
        <f t="shared" si="2"/>
        <v>11.175570504584947</v>
      </c>
      <c r="D22" s="8">
        <f t="shared" ca="1" si="0"/>
        <v>11.184601683408484</v>
      </c>
      <c r="E22" s="4">
        <f t="shared" ca="1" si="5"/>
        <v>0.73675136884844339</v>
      </c>
      <c r="F22" s="4">
        <f t="shared" ca="1" si="6"/>
        <v>0.52152545144488527</v>
      </c>
      <c r="G22" s="4">
        <f t="shared" ca="1" si="6"/>
        <v>0.22641140133533214</v>
      </c>
      <c r="H22" s="8">
        <f t="shared" ca="1" si="1"/>
        <v>0.23441183888571374</v>
      </c>
      <c r="I22" s="4">
        <f t="shared" ca="1" si="7"/>
        <v>0.15134111830283295</v>
      </c>
      <c r="J22" s="4">
        <f t="shared" si="8"/>
        <v>0.42376038765370544</v>
      </c>
      <c r="K22" s="8">
        <f t="shared" ca="1" si="3"/>
        <v>0.19287647859427334</v>
      </c>
      <c r="L22" s="8">
        <f t="shared" ca="1" si="9"/>
        <v>0.50683110823658617</v>
      </c>
    </row>
    <row r="23" spans="1:19" x14ac:dyDescent="0.4">
      <c r="A23" s="5">
        <v>11</v>
      </c>
      <c r="B23" s="4">
        <f t="shared" si="4"/>
        <v>1.1000000000000001</v>
      </c>
      <c r="C23" s="4">
        <f t="shared" si="2"/>
        <v>11.27484797949738</v>
      </c>
      <c r="D23" s="8">
        <f t="shared" ca="1" si="0"/>
        <v>11.130711293618456</v>
      </c>
      <c r="E23" s="4">
        <f t="shared" ca="1" si="5"/>
        <v>0.6091858421735703</v>
      </c>
      <c r="F23" s="4">
        <f t="shared" ca="1" si="6"/>
        <v>0.58244403566224234</v>
      </c>
      <c r="G23" s="4">
        <f t="shared" ca="1" si="6"/>
        <v>0.2846558049015564</v>
      </c>
      <c r="H23" s="8">
        <f t="shared" ca="1" si="1"/>
        <v>0.26904420337278612</v>
      </c>
      <c r="I23" s="4">
        <f t="shared" ca="1" si="7"/>
        <v>0.20202422912649157</v>
      </c>
      <c r="J23" s="4">
        <f t="shared" si="8"/>
        <v>0.49894139934682957</v>
      </c>
      <c r="K23" s="8">
        <f t="shared" ca="1" si="3"/>
        <v>0.23553421624963883</v>
      </c>
      <c r="L23" s="8">
        <f t="shared" ca="1" si="9"/>
        <v>0.56596137359312415</v>
      </c>
    </row>
    <row r="24" spans="1:19" x14ac:dyDescent="0.4">
      <c r="A24" s="5">
        <v>12</v>
      </c>
      <c r="B24" s="4">
        <f t="shared" si="4"/>
        <v>1.2000000000000002</v>
      </c>
      <c r="C24" s="4">
        <f t="shared" si="2"/>
        <v>11.369094211857377</v>
      </c>
      <c r="D24" s="8">
        <f t="shared" ca="1" si="0"/>
        <v>11.422750224806331</v>
      </c>
      <c r="E24" s="4">
        <f t="shared" ca="1" si="5"/>
        <v>0.84030618914408828</v>
      </c>
      <c r="F24" s="4">
        <f t="shared" ca="1" si="6"/>
        <v>0.66647465457665112</v>
      </c>
      <c r="G24" s="4">
        <f t="shared" ca="1" si="6"/>
        <v>0.35130327035922149</v>
      </c>
      <c r="H24" s="8">
        <f t="shared" ca="1" si="1"/>
        <v>0.36414848936294469</v>
      </c>
      <c r="I24" s="4">
        <f t="shared" ca="1" si="7"/>
        <v>0.258620366485804</v>
      </c>
      <c r="J24" s="4">
        <f t="shared" si="8"/>
        <v>0.57653205736188462</v>
      </c>
      <c r="K24" s="8">
        <f t="shared" ca="1" si="3"/>
        <v>0.31138442792437437</v>
      </c>
      <c r="L24" s="8">
        <f t="shared" ca="1" si="9"/>
        <v>0.68206018023902537</v>
      </c>
    </row>
    <row r="25" spans="1:19" x14ac:dyDescent="0.4">
      <c r="A25" s="5">
        <v>13</v>
      </c>
      <c r="B25" s="4">
        <f t="shared" si="4"/>
        <v>1.3</v>
      </c>
      <c r="C25" s="4">
        <f t="shared" si="2"/>
        <v>11.457937254842824</v>
      </c>
      <c r="D25" s="8">
        <f t="shared" ca="1" si="0"/>
        <v>11.388397725661807</v>
      </c>
      <c r="E25" s="4">
        <f t="shared" ca="1" si="5"/>
        <v>0.7219230710851563</v>
      </c>
      <c r="F25" s="4">
        <f t="shared" ca="1" si="6"/>
        <v>0.73866696168516677</v>
      </c>
      <c r="G25" s="4">
        <f t="shared" ca="1" si="6"/>
        <v>0.4251699665277382</v>
      </c>
      <c r="H25" s="8">
        <f t="shared" ca="1" si="1"/>
        <v>0.42440224252605385</v>
      </c>
      <c r="I25" s="4">
        <f t="shared" ca="1" si="7"/>
        <v>0.32682638450970652</v>
      </c>
      <c r="J25" s="4">
        <f t="shared" si="8"/>
        <v>0.65578827281143381</v>
      </c>
      <c r="K25" s="8">
        <f t="shared" ca="1" si="3"/>
        <v>0.37561431351788022</v>
      </c>
      <c r="L25" s="8">
        <f t="shared" ca="1" si="9"/>
        <v>0.7533641308277812</v>
      </c>
    </row>
    <row r="26" spans="1:19" x14ac:dyDescent="0.4">
      <c r="A26" s="5">
        <v>14</v>
      </c>
      <c r="B26" s="4">
        <f t="shared" si="4"/>
        <v>1.4000000000000001</v>
      </c>
      <c r="C26" s="4">
        <f t="shared" si="2"/>
        <v>11.541026485551578</v>
      </c>
      <c r="D26" s="8">
        <f t="shared" ca="1" si="0"/>
        <v>11.647319684299882</v>
      </c>
      <c r="E26" s="4">
        <f t="shared" ca="1" si="5"/>
        <v>0.9086527226147153</v>
      </c>
      <c r="F26" s="4">
        <f t="shared" ca="1" si="6"/>
        <v>0.82953223394663833</v>
      </c>
      <c r="G26" s="4">
        <f t="shared" ca="1" si="6"/>
        <v>0.50812318992240202</v>
      </c>
      <c r="H26" s="8">
        <f t="shared" ca="1" si="1"/>
        <v>0.4940522385806918</v>
      </c>
      <c r="I26" s="4">
        <f t="shared" ca="1" si="7"/>
        <v>0.40216279759248463</v>
      </c>
      <c r="J26" s="4">
        <f t="shared" si="8"/>
        <v>0.7360031710145728</v>
      </c>
      <c r="K26" s="8">
        <f t="shared" ca="1" si="3"/>
        <v>0.44810751808658822</v>
      </c>
      <c r="L26" s="8">
        <f t="shared" ca="1" si="9"/>
        <v>0.82789261200277997</v>
      </c>
    </row>
    <row r="27" spans="1:19" x14ac:dyDescent="0.4">
      <c r="A27" s="5">
        <v>15</v>
      </c>
      <c r="B27" s="4">
        <f t="shared" si="4"/>
        <v>1.5</v>
      </c>
      <c r="C27" s="4">
        <f t="shared" si="2"/>
        <v>11.618033988749895</v>
      </c>
      <c r="D27" s="8">
        <f t="shared" ca="1" si="0"/>
        <v>11.585062531170681</v>
      </c>
      <c r="E27" s="4">
        <f t="shared" ca="1" si="5"/>
        <v>0.75553029722404308</v>
      </c>
      <c r="F27" s="4">
        <f t="shared" ca="1" si="6"/>
        <v>0.90508526366904263</v>
      </c>
      <c r="G27" s="4">
        <f t="shared" ca="1" si="6"/>
        <v>0.59863171628930623</v>
      </c>
      <c r="H27" s="8">
        <f t="shared" ca="1" si="1"/>
        <v>0.59521418653138458</v>
      </c>
      <c r="I27" s="4">
        <f t="shared" ca="1" si="7"/>
        <v>0.48495205879276265</v>
      </c>
      <c r="J27" s="4">
        <f t="shared" si="8"/>
        <v>0.81650550246827325</v>
      </c>
      <c r="K27" s="8">
        <f t="shared" ca="1" si="3"/>
        <v>0.54008312266207359</v>
      </c>
      <c r="L27" s="8">
        <f t="shared" ca="1" si="9"/>
        <v>0.92676763020689523</v>
      </c>
    </row>
    <row r="28" spans="1:19" x14ac:dyDescent="0.4">
      <c r="A28" s="5">
        <v>16</v>
      </c>
      <c r="B28" s="4">
        <f t="shared" si="4"/>
        <v>1.6</v>
      </c>
      <c r="C28" s="4">
        <f t="shared" si="2"/>
        <v>11.688655851004031</v>
      </c>
      <c r="D28" s="8">
        <f t="shared" ca="1" si="0"/>
        <v>11.701065301005464</v>
      </c>
      <c r="E28" s="4">
        <f t="shared" ca="1" si="5"/>
        <v>0.79598003733642131</v>
      </c>
      <c r="F28" s="4">
        <f t="shared" ca="1" si="6"/>
        <v>0.98468326740268475</v>
      </c>
      <c r="G28" s="4">
        <f t="shared" ca="1" si="6"/>
        <v>0.69710004302957473</v>
      </c>
      <c r="H28" s="8">
        <f t="shared" ca="1" si="1"/>
        <v>0.70646166059456894</v>
      </c>
      <c r="I28" s="4">
        <f t="shared" ca="1" si="7"/>
        <v>0.57762882181345221</v>
      </c>
      <c r="J28" s="4">
        <f t="shared" si="8"/>
        <v>0.89665835109643544</v>
      </c>
      <c r="K28" s="8">
        <f t="shared" ca="1" si="3"/>
        <v>0.64204524120401052</v>
      </c>
      <c r="L28" s="8">
        <f t="shared" ca="1" si="9"/>
        <v>1.0254911898775521</v>
      </c>
    </row>
    <row r="29" spans="1:19" x14ac:dyDescent="0.4">
      <c r="A29" s="5">
        <v>17</v>
      </c>
      <c r="B29" s="4">
        <f t="shared" si="4"/>
        <v>1.7000000000000002</v>
      </c>
      <c r="C29" s="4">
        <f t="shared" si="2"/>
        <v>11.752613360087727</v>
      </c>
      <c r="D29" s="8">
        <f t="shared" ca="1" si="0"/>
        <v>11.730855322573349</v>
      </c>
      <c r="E29" s="4">
        <f t="shared" ca="1" si="5"/>
        <v>0.74617205517066465</v>
      </c>
      <c r="F29" s="4">
        <f t="shared" ca="1" si="6"/>
        <v>1.0593004729197513</v>
      </c>
      <c r="G29" s="4">
        <f t="shared" ca="1" si="6"/>
        <v>0.80303009032154993</v>
      </c>
      <c r="H29" s="8">
        <f t="shared" ca="1" si="1"/>
        <v>0.81419907243784384</v>
      </c>
      <c r="I29" s="4">
        <f t="shared" ca="1" si="7"/>
        <v>0.68017794080120741</v>
      </c>
      <c r="J29" s="4">
        <f t="shared" si="8"/>
        <v>0.97585810108719495</v>
      </c>
      <c r="K29" s="8">
        <f t="shared" ca="1" si="3"/>
        <v>0.74718850661952563</v>
      </c>
      <c r="L29" s="8">
        <f t="shared" ca="1" si="9"/>
        <v>1.1098792327238314</v>
      </c>
    </row>
    <row r="30" spans="1:19" x14ac:dyDescent="0.4">
      <c r="A30" s="5">
        <v>18</v>
      </c>
      <c r="B30" s="4">
        <f t="shared" si="4"/>
        <v>1.8</v>
      </c>
      <c r="C30" s="4">
        <f t="shared" si="2"/>
        <v>11.80965410493204</v>
      </c>
      <c r="D30" s="8">
        <f t="shared" ca="1" si="0"/>
        <v>11.936321845325025</v>
      </c>
      <c r="E30" s="4">
        <f t="shared" ca="1" si="5"/>
        <v>0.87702137240527422</v>
      </c>
      <c r="F30" s="4">
        <f t="shared" ref="F30:G45" ca="1" si="10">F29+E30*$E$2</f>
        <v>1.1470026101602786</v>
      </c>
      <c r="G30" s="4">
        <f t="shared" ca="1" si="10"/>
        <v>0.91773035133757785</v>
      </c>
      <c r="H30" s="8">
        <f t="shared" ca="1" si="1"/>
        <v>0.91647507982626597</v>
      </c>
      <c r="I30" s="4">
        <f t="shared" ca="1" si="7"/>
        <v>0.79116586407359057</v>
      </c>
      <c r="J30" s="4">
        <f t="shared" si="8"/>
        <v>1.0535336269872482</v>
      </c>
      <c r="K30" s="8">
        <f t="shared" ca="1" si="3"/>
        <v>0.85382047194992827</v>
      </c>
      <c r="L30" s="8">
        <f t="shared" ca="1" si="9"/>
        <v>1.1788428427399236</v>
      </c>
    </row>
    <row r="31" spans="1:19" x14ac:dyDescent="0.4">
      <c r="A31" s="5">
        <v>19</v>
      </c>
      <c r="B31" s="4">
        <f t="shared" si="4"/>
        <v>1.9000000000000001</v>
      </c>
      <c r="C31" s="4">
        <f t="shared" si="2"/>
        <v>11.859552971776502</v>
      </c>
      <c r="D31" s="8">
        <f t="shared" ca="1" si="0"/>
        <v>11.857150727620823</v>
      </c>
      <c r="E31" s="4">
        <f t="shared" ca="1" si="5"/>
        <v>0.7101481174605444</v>
      </c>
      <c r="F31" s="4">
        <f t="shared" ca="1" si="10"/>
        <v>1.2180174219063331</v>
      </c>
      <c r="G31" s="4">
        <f t="shared" ca="1" si="10"/>
        <v>1.0395320935282111</v>
      </c>
      <c r="H31" s="8">
        <f t="shared" ca="1" si="1"/>
        <v>1.0481248834864856</v>
      </c>
      <c r="I31" s="4">
        <f t="shared" ca="1" si="7"/>
        <v>0.90905014834758291</v>
      </c>
      <c r="J31" s="4">
        <f t="shared" si="8"/>
        <v>1.1291456747817274</v>
      </c>
      <c r="K31" s="8">
        <f t="shared" ca="1" si="3"/>
        <v>0.9785875159170343</v>
      </c>
      <c r="L31" s="8">
        <f t="shared" ca="1" si="9"/>
        <v>1.2682204099206302</v>
      </c>
    </row>
    <row r="32" spans="1:19" x14ac:dyDescent="0.4">
      <c r="A32" s="5">
        <v>20</v>
      </c>
      <c r="B32" s="4">
        <f t="shared" si="4"/>
        <v>2</v>
      </c>
      <c r="C32" s="4">
        <f t="shared" si="2"/>
        <v>11.902113032590307</v>
      </c>
      <c r="D32" s="8">
        <f t="shared" ca="1" si="0"/>
        <v>12.17671737992614</v>
      </c>
      <c r="E32" s="4">
        <f t="shared" ca="1" si="5"/>
        <v>0.95869995801980723</v>
      </c>
      <c r="F32" s="4">
        <f t="shared" ca="1" si="10"/>
        <v>1.3138874177083137</v>
      </c>
      <c r="G32" s="4">
        <f t="shared" ca="1" si="10"/>
        <v>1.1709208352990426</v>
      </c>
      <c r="H32" s="8">
        <f t="shared" ca="1" si="1"/>
        <v>1.1789426811765353</v>
      </c>
      <c r="I32" s="4">
        <f t="shared" ca="1" si="7"/>
        <v>1.0358721893396459</v>
      </c>
      <c r="J32" s="4">
        <f t="shared" si="8"/>
        <v>1.202186404481205</v>
      </c>
      <c r="K32" s="8">
        <f t="shared" ca="1" si="3"/>
        <v>1.1074074352580907</v>
      </c>
      <c r="L32" s="8">
        <f t="shared" ca="1" si="9"/>
        <v>1.3452568963180944</v>
      </c>
    </row>
    <row r="33" spans="1:12" x14ac:dyDescent="0.4">
      <c r="A33" s="5">
        <v>21</v>
      </c>
      <c r="B33" s="4">
        <f t="shared" si="4"/>
        <v>2.1</v>
      </c>
      <c r="C33" s="4">
        <f t="shared" si="2"/>
        <v>11.937166322257262</v>
      </c>
      <c r="D33" s="8">
        <f t="shared" ca="1" si="0"/>
        <v>11.998954377798192</v>
      </c>
      <c r="E33" s="4">
        <f t="shared" ca="1" si="5"/>
        <v>0.68506696008987844</v>
      </c>
      <c r="F33" s="4">
        <f t="shared" ca="1" si="10"/>
        <v>1.3823941137173015</v>
      </c>
      <c r="G33" s="4">
        <f t="shared" ca="1" si="10"/>
        <v>1.3091602466707728</v>
      </c>
      <c r="H33" s="8">
        <f t="shared" ca="1" si="1"/>
        <v>1.3254870732048749</v>
      </c>
      <c r="I33" s="4">
        <f t="shared" ca="1" si="7"/>
        <v>1.1703978789714553</v>
      </c>
      <c r="J33" s="4">
        <f t="shared" si="8"/>
        <v>1.2721790672921152</v>
      </c>
      <c r="K33" s="8">
        <f t="shared" ca="1" si="3"/>
        <v>1.247942476088165</v>
      </c>
      <c r="L33" s="8">
        <f t="shared" ca="1" si="9"/>
        <v>1.4272682615255348</v>
      </c>
    </row>
    <row r="34" spans="1:12" x14ac:dyDescent="0.4">
      <c r="A34" s="5">
        <v>22</v>
      </c>
      <c r="B34" s="4">
        <f t="shared" si="4"/>
        <v>2.2000000000000002</v>
      </c>
      <c r="C34" s="4">
        <f t="shared" si="2"/>
        <v>11.964574501457378</v>
      </c>
      <c r="D34" s="8">
        <f t="shared" ca="1" si="0"/>
        <v>11.940287322111724</v>
      </c>
      <c r="E34" s="4">
        <f t="shared" ca="1" si="5"/>
        <v>0.55789320839442214</v>
      </c>
      <c r="F34" s="4">
        <f t="shared" ca="1" si="10"/>
        <v>1.4381834345567437</v>
      </c>
      <c r="G34" s="4">
        <f t="shared" ca="1" si="10"/>
        <v>1.4529785901264471</v>
      </c>
      <c r="H34" s="8">
        <f t="shared" ca="1" si="1"/>
        <v>1.4491307400543711</v>
      </c>
      <c r="I34" s="4">
        <f t="shared" ca="1" si="7"/>
        <v>1.3131247051240087</v>
      </c>
      <c r="J34" s="4">
        <f t="shared" si="8"/>
        <v>1.33867779278863</v>
      </c>
      <c r="K34" s="8">
        <f t="shared" ca="1" si="3"/>
        <v>1.38112772258919</v>
      </c>
      <c r="L34" s="8">
        <f t="shared" ca="1" si="9"/>
        <v>1.4746838277189924</v>
      </c>
    </row>
    <row r="35" spans="1:12" x14ac:dyDescent="0.4">
      <c r="A35" s="5">
        <v>23</v>
      </c>
      <c r="B35" s="4">
        <f t="shared" si="4"/>
        <v>2.3000000000000003</v>
      </c>
      <c r="C35" s="4">
        <f t="shared" si="2"/>
        <v>11.984229402628955</v>
      </c>
      <c r="D35" s="8">
        <f t="shared" ca="1" si="0"/>
        <v>11.983033624806684</v>
      </c>
      <c r="E35" s="4">
        <f t="shared" ca="1" si="5"/>
        <v>0.54485019024993986</v>
      </c>
      <c r="F35" s="4">
        <f t="shared" ca="1" si="10"/>
        <v>1.4926684535817376</v>
      </c>
      <c r="G35" s="4">
        <f t="shared" ca="1" si="10"/>
        <v>1.602245435484621</v>
      </c>
      <c r="H35" s="8">
        <f t="shared" ca="1" si="1"/>
        <v>1.6009404781852492</v>
      </c>
      <c r="I35" s="4">
        <f t="shared" ca="1" si="7"/>
        <v>1.4605930878959079</v>
      </c>
      <c r="J35" s="4">
        <f t="shared" si="8"/>
        <v>1.4012674636555049</v>
      </c>
      <c r="K35" s="8">
        <f t="shared" ca="1" si="3"/>
        <v>1.5307667830405784</v>
      </c>
      <c r="L35" s="8">
        <f t="shared" ca="1" si="9"/>
        <v>1.5416148539448462</v>
      </c>
    </row>
    <row r="36" spans="1:12" x14ac:dyDescent="0.4">
      <c r="A36" s="5">
        <v>24</v>
      </c>
      <c r="B36" s="4">
        <f t="shared" si="4"/>
        <v>2.4000000000000004</v>
      </c>
      <c r="C36" s="4">
        <f t="shared" si="2"/>
        <v>11.996053456856544</v>
      </c>
      <c r="D36" s="8">
        <f t="shared" ca="1" si="0"/>
        <v>11.9602031884216</v>
      </c>
      <c r="E36" s="4">
        <f t="shared" ca="1" si="5"/>
        <v>0.46753473483986241</v>
      </c>
      <c r="F36" s="4">
        <f t="shared" ca="1" si="10"/>
        <v>1.5394219270657239</v>
      </c>
      <c r="G36" s="4">
        <f t="shared" ca="1" si="10"/>
        <v>1.7561876281911935</v>
      </c>
      <c r="H36" s="8">
        <f t="shared" ca="1" si="1"/>
        <v>1.7637751884177673</v>
      </c>
      <c r="I36" s="4">
        <f t="shared" ca="1" si="7"/>
        <v>1.6147545732903925</v>
      </c>
      <c r="J36" s="4">
        <f t="shared" si="8"/>
        <v>1.4595636575528501</v>
      </c>
      <c r="K36" s="8">
        <f t="shared" ca="1" si="3"/>
        <v>1.68926488085408</v>
      </c>
      <c r="L36" s="8">
        <f t="shared" ca="1" si="9"/>
        <v>1.6085842726802249</v>
      </c>
    </row>
    <row r="37" spans="1:12" x14ac:dyDescent="0.4">
      <c r="A37" s="5">
        <v>25</v>
      </c>
      <c r="B37" s="4">
        <f t="shared" si="4"/>
        <v>2.5</v>
      </c>
      <c r="C37" s="4">
        <f t="shared" si="2"/>
        <v>12</v>
      </c>
      <c r="D37" s="8">
        <f t="shared" ca="1" si="0"/>
        <v>12.085240077073117</v>
      </c>
      <c r="E37" s="4">
        <f t="shared" ca="1" si="5"/>
        <v>0.54581815000739264</v>
      </c>
      <c r="F37" s="4">
        <f t="shared" ca="1" si="10"/>
        <v>1.5940037420664632</v>
      </c>
      <c r="G37" s="4">
        <f t="shared" ca="1" si="10"/>
        <v>1.9155880023978398</v>
      </c>
      <c r="H37" s="8">
        <f t="shared" ca="1" si="1"/>
        <v>1.9250806415261428</v>
      </c>
      <c r="I37" s="4">
        <f t="shared" ca="1" si="7"/>
        <v>1.775613000558415</v>
      </c>
      <c r="J37" s="4">
        <f t="shared" si="8"/>
        <v>1.5132126374832195</v>
      </c>
      <c r="K37" s="8">
        <f t="shared" ca="1" si="3"/>
        <v>1.8503468210422789</v>
      </c>
      <c r="L37" s="8">
        <f t="shared" ca="1" si="9"/>
        <v>1.6626802784509473</v>
      </c>
    </row>
    <row r="38" spans="1:12" x14ac:dyDescent="0.4">
      <c r="A38" s="5">
        <v>26</v>
      </c>
      <c r="B38" s="4">
        <f t="shared" si="4"/>
        <v>2.6</v>
      </c>
      <c r="C38" s="4">
        <f t="shared" si="2"/>
        <v>11.996053456856544</v>
      </c>
      <c r="D38" s="8">
        <f t="shared" ca="1" si="0"/>
        <v>12.005124682102345</v>
      </c>
      <c r="E38" s="4">
        <f t="shared" ca="1" si="5"/>
        <v>0.41112094003588151</v>
      </c>
      <c r="F38" s="4">
        <f t="shared" ca="1" si="10"/>
        <v>1.6351158360700513</v>
      </c>
      <c r="G38" s="4">
        <f t="shared" ca="1" si="10"/>
        <v>2.0790995860048449</v>
      </c>
      <c r="H38" s="8">
        <f t="shared" ca="1" si="1"/>
        <v>2.0977553390272559</v>
      </c>
      <c r="I38" s="4">
        <f t="shared" ca="1" si="7"/>
        <v>1.9418810284035097</v>
      </c>
      <c r="J38" s="4">
        <f t="shared" si="8"/>
        <v>1.5618913737348976</v>
      </c>
      <c r="K38" s="8">
        <f t="shared" ca="1" si="3"/>
        <v>2.0198181837153828</v>
      </c>
      <c r="L38" s="8">
        <f t="shared" ca="1" si="9"/>
        <v>1.7177656843586437</v>
      </c>
    </row>
    <row r="39" spans="1:12" x14ac:dyDescent="0.4">
      <c r="A39" s="5">
        <v>27</v>
      </c>
      <c r="B39" s="4">
        <f t="shared" si="4"/>
        <v>2.7</v>
      </c>
      <c r="C39" s="4">
        <f t="shared" si="2"/>
        <v>11.984229402628955</v>
      </c>
      <c r="D39" s="8">
        <f t="shared" ca="1" si="0"/>
        <v>11.940072730685635</v>
      </c>
      <c r="E39" s="4">
        <f t="shared" ca="1" si="5"/>
        <v>0.30495689461558406</v>
      </c>
      <c r="F39" s="4">
        <f t="shared" ca="1" si="10"/>
        <v>1.6656115255316097</v>
      </c>
      <c r="G39" s="4">
        <f t="shared" ca="1" si="10"/>
        <v>2.2456607385580059</v>
      </c>
      <c r="H39" s="8">
        <f t="shared" ca="1" si="1"/>
        <v>2.2581216080688624</v>
      </c>
      <c r="I39" s="4">
        <f t="shared" ca="1" si="7"/>
        <v>2.1136575968393743</v>
      </c>
      <c r="J39" s="4">
        <f t="shared" si="8"/>
        <v>1.6053075820470621</v>
      </c>
      <c r="K39" s="8">
        <f t="shared" ca="1" si="3"/>
        <v>2.1858896024541181</v>
      </c>
      <c r="L39" s="8">
        <f t="shared" ca="1" si="9"/>
        <v>1.7497715932765503</v>
      </c>
    </row>
    <row r="40" spans="1:12" x14ac:dyDescent="0.4">
      <c r="A40" s="5">
        <v>28</v>
      </c>
      <c r="B40" s="4">
        <f t="shared" si="4"/>
        <v>2.8000000000000003</v>
      </c>
      <c r="C40" s="4">
        <f t="shared" si="2"/>
        <v>11.964574501457378</v>
      </c>
      <c r="D40" s="8">
        <f t="shared" ca="1" si="0"/>
        <v>11.933873951735421</v>
      </c>
      <c r="E40" s="4">
        <f t="shared" ca="1" si="5"/>
        <v>0.26826242620381158</v>
      </c>
      <c r="F40" s="4">
        <f t="shared" ca="1" si="10"/>
        <v>1.6924377681519909</v>
      </c>
      <c r="G40" s="4">
        <f t="shared" ca="1" si="10"/>
        <v>2.4149045153732049</v>
      </c>
      <c r="H40" s="8">
        <f t="shared" ca="1" si="1"/>
        <v>2.4050919641514601</v>
      </c>
      <c r="I40" s="4">
        <f t="shared" ca="1" si="7"/>
        <v>2.2886347561670295</v>
      </c>
      <c r="J40" s="4">
        <f t="shared" si="8"/>
        <v>1.6431997641052516</v>
      </c>
      <c r="K40" s="8">
        <f t="shared" ca="1" si="3"/>
        <v>2.3468633601592446</v>
      </c>
      <c r="L40" s="8">
        <f t="shared" ca="1" si="9"/>
        <v>1.7596569720896822</v>
      </c>
    </row>
    <row r="41" spans="1:12" x14ac:dyDescent="0.4">
      <c r="A41" s="5">
        <v>29</v>
      </c>
      <c r="B41" s="4">
        <f t="shared" si="4"/>
        <v>2.9000000000000004</v>
      </c>
      <c r="C41" s="4">
        <f t="shared" si="2"/>
        <v>11.937166322257262</v>
      </c>
      <c r="D41" s="8">
        <f t="shared" ca="1" si="0"/>
        <v>12.019946464493668</v>
      </c>
      <c r="E41" s="4">
        <f t="shared" ca="1" si="5"/>
        <v>0.32750869634167667</v>
      </c>
      <c r="F41" s="4">
        <f t="shared" ca="1" si="10"/>
        <v>1.7251886377861585</v>
      </c>
      <c r="G41" s="4">
        <f t="shared" ca="1" si="10"/>
        <v>2.5874233791518209</v>
      </c>
      <c r="H41" s="8">
        <f t="shared" ca="1" si="1"/>
        <v>2.5712111134328239</v>
      </c>
      <c r="I41" s="4">
        <f t="shared" ca="1" si="7"/>
        <v>2.4646004533759975</v>
      </c>
      <c r="J41" s="4">
        <f t="shared" si="8"/>
        <v>1.6753372378404641</v>
      </c>
      <c r="K41" s="8">
        <f t="shared" ca="1" si="3"/>
        <v>2.5179057834044105</v>
      </c>
      <c r="L41" s="8">
        <f t="shared" ca="1" si="9"/>
        <v>1.7819478978972905</v>
      </c>
    </row>
    <row r="42" spans="1:12" x14ac:dyDescent="0.4">
      <c r="A42" s="5">
        <v>30</v>
      </c>
      <c r="B42" s="4">
        <f t="shared" si="4"/>
        <v>3</v>
      </c>
      <c r="C42" s="4">
        <f t="shared" si="2"/>
        <v>11.902113032590307</v>
      </c>
      <c r="D42" s="8">
        <f t="shared" ca="1" si="0"/>
        <v>11.855642793470778</v>
      </c>
      <c r="E42" s="4">
        <f t="shared" ca="1" si="5"/>
        <v>0.13045415568461993</v>
      </c>
      <c r="F42" s="4">
        <f t="shared" ca="1" si="10"/>
        <v>1.7382340533546206</v>
      </c>
      <c r="G42" s="4">
        <f t="shared" ca="1" si="10"/>
        <v>2.761246784487283</v>
      </c>
      <c r="H42" s="8">
        <f t="shared" ca="1" si="1"/>
        <v>2.7612936329859177</v>
      </c>
      <c r="I42" s="4">
        <f t="shared" ca="1" si="7"/>
        <v>2.6427952431657267</v>
      </c>
      <c r="J42" s="4">
        <f t="shared" si="8"/>
        <v>1.7015201462821439</v>
      </c>
      <c r="K42" s="8">
        <f t="shared" ca="1" si="3"/>
        <v>2.7020444380758222</v>
      </c>
      <c r="L42" s="8">
        <f t="shared" ca="1" si="9"/>
        <v>1.8200185361023349</v>
      </c>
    </row>
    <row r="43" spans="1:12" x14ac:dyDescent="0.4">
      <c r="A43" s="5">
        <v>31</v>
      </c>
      <c r="B43" s="4">
        <f t="shared" si="4"/>
        <v>3.1</v>
      </c>
      <c r="C43" s="4">
        <f t="shared" si="2"/>
        <v>11.859552971776502</v>
      </c>
      <c r="D43" s="8">
        <f t="shared" ca="1" si="0"/>
        <v>11.799202293259421</v>
      </c>
      <c r="E43" s="4">
        <f t="shared" ca="1" si="5"/>
        <v>6.0968239904800825E-2</v>
      </c>
      <c r="F43" s="4">
        <f t="shared" ca="1" si="10"/>
        <v>1.7443308773451007</v>
      </c>
      <c r="G43" s="4">
        <f t="shared" ca="1" si="10"/>
        <v>2.9356798722217929</v>
      </c>
      <c r="H43" s="8">
        <f t="shared" ca="1" si="1"/>
        <v>2.9244788817584895</v>
      </c>
      <c r="I43" s="4">
        <f t="shared" ca="1" si="7"/>
        <v>2.8247970967759604</v>
      </c>
      <c r="J43" s="4">
        <f t="shared" si="8"/>
        <v>1.7215794349129603</v>
      </c>
      <c r="K43" s="8">
        <f t="shared" ca="1" si="3"/>
        <v>2.8746379892672249</v>
      </c>
      <c r="L43" s="8">
        <f t="shared" ca="1" si="9"/>
        <v>1.8212612198954894</v>
      </c>
    </row>
    <row r="44" spans="1:12" x14ac:dyDescent="0.4">
      <c r="A44" s="5">
        <v>32</v>
      </c>
      <c r="B44" s="4">
        <f t="shared" si="4"/>
        <v>3.2</v>
      </c>
      <c r="C44" s="4">
        <f t="shared" si="2"/>
        <v>11.809654104932038</v>
      </c>
      <c r="D44" s="8">
        <f t="shared" ca="1" si="0"/>
        <v>11.791228346249492</v>
      </c>
      <c r="E44" s="4">
        <f t="shared" ca="1" si="5"/>
        <v>4.6897468904390838E-2</v>
      </c>
      <c r="F44" s="4">
        <f t="shared" ca="1" si="10"/>
        <v>1.7490206242355397</v>
      </c>
      <c r="G44" s="4">
        <f t="shared" ca="1" si="10"/>
        <v>3.1105819346453467</v>
      </c>
      <c r="H44" s="8">
        <f t="shared" ca="1" si="1"/>
        <v>3.1011505971426656</v>
      </c>
      <c r="I44" s="4">
        <f t="shared" ca="1" si="7"/>
        <v>3.0069232187655093</v>
      </c>
      <c r="J44" s="4">
        <f t="shared" si="8"/>
        <v>1.7353767885993143</v>
      </c>
      <c r="K44" s="8">
        <f t="shared" ca="1" si="3"/>
        <v>3.0540369079540874</v>
      </c>
      <c r="L44" s="8">
        <f t="shared" ca="1" si="9"/>
        <v>1.8296041669764707</v>
      </c>
    </row>
    <row r="45" spans="1:12" x14ac:dyDescent="0.4">
      <c r="A45" s="5">
        <v>33</v>
      </c>
      <c r="B45" s="4">
        <f t="shared" si="4"/>
        <v>3.3000000000000003</v>
      </c>
      <c r="C45" s="4">
        <f t="shared" si="2"/>
        <v>11.752613360087727</v>
      </c>
      <c r="D45" s="8">
        <f t="shared" ca="1" si="0"/>
        <v>11.666721086509154</v>
      </c>
      <c r="E45" s="4">
        <f t="shared" ca="1" si="5"/>
        <v>-8.2299537726385319E-2</v>
      </c>
      <c r="F45" s="4">
        <f t="shared" ca="1" si="10"/>
        <v>1.7407906704629013</v>
      </c>
      <c r="G45" s="4">
        <f t="shared" ca="1" si="10"/>
        <v>3.2846610016916369</v>
      </c>
      <c r="H45" s="8">
        <f t="shared" ca="1" si="1"/>
        <v>3.2816643927118685</v>
      </c>
      <c r="I45" s="4">
        <f t="shared" ca="1" si="7"/>
        <v>3.1898836354631563</v>
      </c>
      <c r="J45" s="4">
        <f t="shared" si="8"/>
        <v>1.7428045202325868</v>
      </c>
      <c r="K45" s="8">
        <f t="shared" ca="1" si="3"/>
        <v>3.2357740140875126</v>
      </c>
      <c r="L45" s="8">
        <f t="shared" ca="1" si="9"/>
        <v>1.834585277481299</v>
      </c>
    </row>
    <row r="46" spans="1:12" x14ac:dyDescent="0.4">
      <c r="A46" s="5">
        <v>34</v>
      </c>
      <c r="B46" s="4">
        <f t="shared" si="4"/>
        <v>3.4000000000000004</v>
      </c>
      <c r="C46" s="4">
        <f t="shared" si="2"/>
        <v>11.688655851004031</v>
      </c>
      <c r="D46" s="8">
        <f t="shared" ca="1" si="0"/>
        <v>11.653439964286946</v>
      </c>
      <c r="E46" s="4">
        <f t="shared" ca="1" si="5"/>
        <v>-8.7350706175955306E-2</v>
      </c>
      <c r="F46" s="4">
        <f t="shared" ref="F46:G61" ca="1" si="11">F45+E46*$E$2</f>
        <v>1.7320555998453058</v>
      </c>
      <c r="G46" s="4">
        <f t="shared" ca="1" si="11"/>
        <v>3.4578665616761675</v>
      </c>
      <c r="H46" s="8">
        <f t="shared" ca="1" si="1"/>
        <v>3.4447464267747763</v>
      </c>
      <c r="I46" s="4">
        <f t="shared" ca="1" si="7"/>
        <v>3.3733421632112863</v>
      </c>
      <c r="J46" s="4">
        <f t="shared" si="8"/>
        <v>1.7437854042181009</v>
      </c>
      <c r="K46" s="8">
        <f t="shared" ca="1" si="3"/>
        <v>3.4090442949930315</v>
      </c>
      <c r="L46" s="8">
        <f t="shared" ca="1" si="9"/>
        <v>1.8151896677815909</v>
      </c>
    </row>
    <row r="47" spans="1:12" x14ac:dyDescent="0.4">
      <c r="A47" s="5">
        <v>35</v>
      </c>
      <c r="B47" s="4">
        <f t="shared" si="4"/>
        <v>3.5</v>
      </c>
      <c r="C47" s="4">
        <f t="shared" si="2"/>
        <v>11.618033988749895</v>
      </c>
      <c r="D47" s="8">
        <f t="shared" ca="1" si="0"/>
        <v>11.617852513812446</v>
      </c>
      <c r="E47" s="4">
        <f t="shared" ca="1" si="5"/>
        <v>-0.11420308603285978</v>
      </c>
      <c r="F47" s="4">
        <f t="shared" ca="1" si="11"/>
        <v>1.7206352912420197</v>
      </c>
      <c r="G47" s="4">
        <f t="shared" ca="1" si="11"/>
        <v>3.6299300908003693</v>
      </c>
      <c r="H47" s="8">
        <f t="shared" ca="1" si="1"/>
        <v>3.6321433043388538</v>
      </c>
      <c r="I47" s="4">
        <f t="shared" ca="1" si="7"/>
        <v>3.5548611299894453</v>
      </c>
      <c r="J47" s="4">
        <f t="shared" si="8"/>
        <v>1.7382724488966939</v>
      </c>
      <c r="K47" s="8">
        <f t="shared" ca="1" si="3"/>
        <v>3.5935022171641497</v>
      </c>
      <c r="L47" s="8">
        <f t="shared" ca="1" si="9"/>
        <v>1.8155546232461024</v>
      </c>
    </row>
    <row r="48" spans="1:12" x14ac:dyDescent="0.4">
      <c r="A48" s="5">
        <v>36</v>
      </c>
      <c r="B48" s="4">
        <f t="shared" si="4"/>
        <v>3.6</v>
      </c>
      <c r="C48" s="4">
        <f t="shared" si="2"/>
        <v>11.541026485551578</v>
      </c>
      <c r="D48" s="8">
        <f t="shared" ca="1" si="0"/>
        <v>11.522914060641165</v>
      </c>
      <c r="E48" s="4">
        <f t="shared" ca="1" si="5"/>
        <v>-0.19772123060085467</v>
      </c>
      <c r="F48" s="4">
        <f t="shared" ca="1" si="11"/>
        <v>1.7008631681819342</v>
      </c>
      <c r="G48" s="4">
        <f t="shared" ca="1" si="11"/>
        <v>3.8000164076185627</v>
      </c>
      <c r="H48" s="8">
        <f t="shared" ca="1" si="1"/>
        <v>3.80849178449323</v>
      </c>
      <c r="I48" s="4">
        <f t="shared" ca="1" si="7"/>
        <v>3.7364165923140553</v>
      </c>
      <c r="J48" s="4">
        <f t="shared" si="8"/>
        <v>1.7262486028820141</v>
      </c>
      <c r="K48" s="8">
        <f t="shared" ca="1" si="3"/>
        <v>3.7724541884036427</v>
      </c>
      <c r="L48" s="8">
        <f t="shared" ca="1" si="9"/>
        <v>1.7983237950611888</v>
      </c>
    </row>
    <row r="49" spans="1:12" x14ac:dyDescent="0.4">
      <c r="A49" s="5">
        <v>37</v>
      </c>
      <c r="B49" s="4">
        <f t="shared" si="4"/>
        <v>3.7</v>
      </c>
      <c r="C49" s="4">
        <f t="shared" si="2"/>
        <v>11.457937254842824</v>
      </c>
      <c r="D49" s="8">
        <f t="shared" ca="1" si="0"/>
        <v>11.490787513805993</v>
      </c>
      <c r="E49" s="4">
        <f t="shared" ca="1" si="5"/>
        <v>-0.21007565437594167</v>
      </c>
      <c r="F49" s="4">
        <f t="shared" ca="1" si="11"/>
        <v>1.6798556027443401</v>
      </c>
      <c r="G49" s="4">
        <f t="shared" ca="1" si="11"/>
        <v>3.968001967892997</v>
      </c>
      <c r="H49" s="8">
        <f t="shared" ca="1" si="1"/>
        <v>3.9628419782918374</v>
      </c>
      <c r="I49" s="4">
        <f t="shared" ca="1" si="7"/>
        <v>3.9162489718201741</v>
      </c>
      <c r="J49" s="4">
        <f t="shared" si="8"/>
        <v>1.7077263911489704</v>
      </c>
      <c r="K49" s="8">
        <f t="shared" ca="1" si="3"/>
        <v>3.9395454750560059</v>
      </c>
      <c r="L49" s="8">
        <f t="shared" ca="1" si="9"/>
        <v>1.7543193976206337</v>
      </c>
    </row>
    <row r="50" spans="1:12" x14ac:dyDescent="0.4">
      <c r="A50" s="5">
        <v>38</v>
      </c>
      <c r="B50" s="4">
        <f t="shared" si="4"/>
        <v>3.8000000000000003</v>
      </c>
      <c r="C50" s="4">
        <f t="shared" si="2"/>
        <v>11.369094211857378</v>
      </c>
      <c r="D50" s="8">
        <f t="shared" ca="1" si="0"/>
        <v>11.422824428806887</v>
      </c>
      <c r="E50" s="4">
        <f t="shared" ca="1" si="5"/>
        <v>-0.25703117393745289</v>
      </c>
      <c r="F50" s="4">
        <f t="shared" ca="1" si="11"/>
        <v>1.6541524853505949</v>
      </c>
      <c r="G50" s="4">
        <f t="shared" ca="1" si="11"/>
        <v>4.1334172164280565</v>
      </c>
      <c r="H50" s="8">
        <f t="shared" ca="1" si="1"/>
        <v>4.13681380369498</v>
      </c>
      <c r="I50" s="4">
        <f t="shared" ca="1" si="7"/>
        <v>4.0916809115822375</v>
      </c>
      <c r="J50" s="4">
        <f t="shared" si="8"/>
        <v>1.6827474775183557</v>
      </c>
      <c r="K50" s="8">
        <f t="shared" ca="1" si="3"/>
        <v>4.1142473576386092</v>
      </c>
      <c r="L50" s="8">
        <f t="shared" ca="1" si="9"/>
        <v>1.7278803696310983</v>
      </c>
    </row>
    <row r="51" spans="1:12" x14ac:dyDescent="0.4">
      <c r="A51" s="5">
        <v>39</v>
      </c>
      <c r="B51" s="4">
        <f t="shared" si="4"/>
        <v>3.9000000000000004</v>
      </c>
      <c r="C51" s="4">
        <f t="shared" si="2"/>
        <v>11.274847979497379</v>
      </c>
      <c r="D51" s="8">
        <f t="shared" ca="1" si="0"/>
        <v>11.135491800344672</v>
      </c>
      <c r="E51" s="4">
        <f t="shared" ca="1" si="5"/>
        <v>-0.51866068500592255</v>
      </c>
      <c r="F51" s="4">
        <f t="shared" ca="1" si="11"/>
        <v>1.6022864168500026</v>
      </c>
      <c r="G51" s="4">
        <f t="shared" ca="1" si="11"/>
        <v>4.2936458581130568</v>
      </c>
      <c r="H51" s="8">
        <f t="shared" ca="1" si="1"/>
        <v>4.2742933264068661</v>
      </c>
      <c r="I51" s="4">
        <f t="shared" ca="1" si="7"/>
        <v>4.2644689485453471</v>
      </c>
      <c r="J51" s="4">
        <f t="shared" si="8"/>
        <v>1.6513821509522579</v>
      </c>
      <c r="K51" s="8">
        <f t="shared" ca="1" si="3"/>
        <v>4.2693811374761061</v>
      </c>
      <c r="L51" s="8">
        <f t="shared" ca="1" si="9"/>
        <v>1.661206528813777</v>
      </c>
    </row>
    <row r="52" spans="1:12" x14ac:dyDescent="0.4">
      <c r="A52" s="5">
        <v>40</v>
      </c>
      <c r="B52" s="4">
        <f t="shared" si="4"/>
        <v>4</v>
      </c>
      <c r="C52" s="4">
        <f t="shared" si="2"/>
        <v>11.175570504584947</v>
      </c>
      <c r="D52" s="8">
        <f t="shared" ca="1" si="0"/>
        <v>11.160498760519223</v>
      </c>
      <c r="E52" s="4">
        <f t="shared" ca="1" si="5"/>
        <v>-0.44178765633077943</v>
      </c>
      <c r="F52" s="4">
        <f t="shared" ca="1" si="11"/>
        <v>1.5581076512169247</v>
      </c>
      <c r="G52" s="4">
        <f t="shared" ca="1" si="11"/>
        <v>4.4494566232347497</v>
      </c>
      <c r="H52" s="8">
        <f t="shared" ca="1" si="1"/>
        <v>4.4472752103003153</v>
      </c>
      <c r="I52" s="4">
        <f t="shared" ca="1" si="7"/>
        <v>4.4305896014267248</v>
      </c>
      <c r="J52" s="4">
        <f t="shared" si="8"/>
        <v>1.6137287338067698</v>
      </c>
      <c r="K52" s="8">
        <f t="shared" ca="1" si="3"/>
        <v>4.43893240586352</v>
      </c>
      <c r="L52" s="8">
        <f t="shared" ca="1" si="9"/>
        <v>1.6304143426803603</v>
      </c>
    </row>
    <row r="53" spans="1:12" x14ac:dyDescent="0.4">
      <c r="A53" s="5">
        <v>41</v>
      </c>
      <c r="B53" s="4">
        <f t="shared" si="4"/>
        <v>4.1000000000000005</v>
      </c>
      <c r="C53" s="4">
        <f t="shared" si="2"/>
        <v>11.071653589957993</v>
      </c>
      <c r="D53" s="8">
        <f t="shared" ca="1" si="0"/>
        <v>11.078361354171957</v>
      </c>
      <c r="E53" s="4">
        <f t="shared" ca="1" si="5"/>
        <v>-0.47974629704496796</v>
      </c>
      <c r="F53" s="4">
        <f t="shared" ca="1" si="11"/>
        <v>1.510133021512428</v>
      </c>
      <c r="G53" s="4">
        <f t="shared" ca="1" si="11"/>
        <v>4.6004699253859922</v>
      </c>
      <c r="H53" s="8">
        <f t="shared" ca="1" si="1"/>
        <v>4.6105884586162782</v>
      </c>
      <c r="I53" s="4">
        <f t="shared" ca="1" si="7"/>
        <v>4.5936310356947612</v>
      </c>
      <c r="J53" s="4">
        <f t="shared" si="8"/>
        <v>1.5699129108845875</v>
      </c>
      <c r="K53" s="8">
        <f t="shared" ca="1" si="3"/>
        <v>4.6021097471555201</v>
      </c>
      <c r="L53" s="8">
        <f t="shared" ca="1" si="9"/>
        <v>1.5868703338061045</v>
      </c>
    </row>
    <row r="54" spans="1:12" x14ac:dyDescent="0.4">
      <c r="A54" s="5">
        <v>42</v>
      </c>
      <c r="B54" s="4">
        <f t="shared" si="4"/>
        <v>4.2</v>
      </c>
      <c r="C54" s="4">
        <f t="shared" si="2"/>
        <v>10.96350734820343</v>
      </c>
      <c r="D54" s="8">
        <f t="shared" ca="1" si="0"/>
        <v>10.746841022430466</v>
      </c>
      <c r="E54" s="4">
        <f t="shared" ca="1" si="5"/>
        <v>-0.76329199908196177</v>
      </c>
      <c r="F54" s="4">
        <f t="shared" ca="1" si="11"/>
        <v>1.4338038216042319</v>
      </c>
      <c r="G54" s="4">
        <f t="shared" ca="1" si="11"/>
        <v>4.7438503075464151</v>
      </c>
      <c r="H54" s="8">
        <f t="shared" ca="1" si="1"/>
        <v>4.7612174446496356</v>
      </c>
      <c r="I54" s="4">
        <f t="shared" ca="1" si="7"/>
        <v>4.7523180690753719</v>
      </c>
      <c r="J54" s="4">
        <f t="shared" si="8"/>
        <v>1.520086978791928</v>
      </c>
      <c r="K54" s="8">
        <f t="shared" ca="1" si="3"/>
        <v>4.7567677568625033</v>
      </c>
      <c r="L54" s="8">
        <f t="shared" ca="1" si="9"/>
        <v>1.5289863543661917</v>
      </c>
    </row>
    <row r="55" spans="1:12" x14ac:dyDescent="0.4">
      <c r="A55" s="5">
        <v>43</v>
      </c>
      <c r="B55" s="4">
        <f t="shared" si="4"/>
        <v>4.3</v>
      </c>
      <c r="C55" s="4">
        <f t="shared" si="2"/>
        <v>10.851558583130146</v>
      </c>
      <c r="D55" s="8">
        <f t="shared" ca="1" si="0"/>
        <v>10.832267001694499</v>
      </c>
      <c r="E55" s="4">
        <f t="shared" ca="1" si="5"/>
        <v>-0.60153681990973329</v>
      </c>
      <c r="F55" s="4">
        <f t="shared" ca="1" si="11"/>
        <v>1.3736501396132585</v>
      </c>
      <c r="G55" s="4">
        <f t="shared" ca="1" si="11"/>
        <v>4.8812153215077414</v>
      </c>
      <c r="H55" s="8">
        <f t="shared" ca="1" si="1"/>
        <v>4.8835813370820871</v>
      </c>
      <c r="I55" s="4">
        <f t="shared" ca="1" si="7"/>
        <v>4.9052167045119912</v>
      </c>
      <c r="J55" s="4">
        <f t="shared" si="8"/>
        <v>1.4644290157330782</v>
      </c>
      <c r="K55" s="8">
        <f t="shared" ca="1" si="3"/>
        <v>4.8943990207970387</v>
      </c>
      <c r="L55" s="8">
        <f t="shared" ca="1" si="9"/>
        <v>1.442793648303174</v>
      </c>
    </row>
    <row r="56" spans="1:12" x14ac:dyDescent="0.4">
      <c r="A56" s="5">
        <v>44</v>
      </c>
      <c r="B56" s="4">
        <f t="shared" si="4"/>
        <v>4.4000000000000004</v>
      </c>
      <c r="C56" s="4">
        <f t="shared" si="2"/>
        <v>10.736249105369355</v>
      </c>
      <c r="D56" s="8">
        <f t="shared" ca="1" si="0"/>
        <v>10.715988098147216</v>
      </c>
      <c r="E56" s="4">
        <f t="shared" ca="1" si="5"/>
        <v>-0.65766204146604257</v>
      </c>
      <c r="F56" s="4">
        <f t="shared" ca="1" si="11"/>
        <v>1.3078839354666543</v>
      </c>
      <c r="G56" s="4">
        <f t="shared" ca="1" si="11"/>
        <v>5.0120037150544068</v>
      </c>
      <c r="H56" s="8">
        <f t="shared" ca="1" si="1"/>
        <v>5.0076030306732235</v>
      </c>
      <c r="I56" s="4">
        <f t="shared" ca="1" si="7"/>
        <v>5.0494960693423083</v>
      </c>
      <c r="J56" s="4">
        <f t="shared" si="8"/>
        <v>1.4031419724727849</v>
      </c>
      <c r="K56" s="8">
        <f t="shared" ca="1" si="3"/>
        <v>5.0285495500077655</v>
      </c>
      <c r="L56" s="8">
        <f t="shared" ca="1" si="9"/>
        <v>1.3612489338037002</v>
      </c>
    </row>
    <row r="57" spans="1:12" x14ac:dyDescent="0.4">
      <c r="A57" s="5">
        <v>45</v>
      </c>
      <c r="B57" s="4">
        <f t="shared" si="4"/>
        <v>4.5</v>
      </c>
      <c r="C57" s="4">
        <f t="shared" si="2"/>
        <v>10.618033988749895</v>
      </c>
      <c r="D57" s="8">
        <f t="shared" ca="1" si="0"/>
        <v>10.637549468866116</v>
      </c>
      <c r="E57" s="4">
        <f t="shared" ca="1" si="5"/>
        <v>-0.67033446660053864</v>
      </c>
      <c r="F57" s="4">
        <f t="shared" ca="1" si="11"/>
        <v>1.2408504888066003</v>
      </c>
      <c r="G57" s="4">
        <f t="shared" ca="1" si="11"/>
        <v>5.1360887639350672</v>
      </c>
      <c r="H57" s="8">
        <f t="shared" ca="1" si="1"/>
        <v>5.1283677819185893</v>
      </c>
      <c r="I57" s="4">
        <f t="shared" ca="1" si="7"/>
        <v>5.1856209627226786</v>
      </c>
      <c r="J57" s="4">
        <f t="shared" si="8"/>
        <v>1.3364526857624419</v>
      </c>
      <c r="K57" s="8">
        <f t="shared" ca="1" si="3"/>
        <v>5.156994372320634</v>
      </c>
      <c r="L57" s="8">
        <f t="shared" ca="1" si="9"/>
        <v>1.2791995049583527</v>
      </c>
    </row>
    <row r="58" spans="1:12" x14ac:dyDescent="0.4">
      <c r="A58" s="5">
        <v>46</v>
      </c>
      <c r="B58" s="4">
        <f t="shared" si="4"/>
        <v>4.6000000000000005</v>
      </c>
      <c r="C58" s="4">
        <f t="shared" si="2"/>
        <v>10.497379774329708</v>
      </c>
      <c r="D58" s="8">
        <f t="shared" ca="1" si="0"/>
        <v>10.486505291017815</v>
      </c>
      <c r="E58" s="4">
        <f t="shared" ca="1" si="5"/>
        <v>-0.75434519778878495</v>
      </c>
      <c r="F58" s="4">
        <f t="shared" ca="1" si="11"/>
        <v>1.1654159690277219</v>
      </c>
      <c r="G58" s="4">
        <f t="shared" ca="1" si="11"/>
        <v>5.2526303608378395</v>
      </c>
      <c r="H58" s="8">
        <f t="shared" ca="1" si="1"/>
        <v>5.2403084221123777</v>
      </c>
      <c r="I58" s="4">
        <f t="shared" ca="1" si="7"/>
        <v>5.3135409132185139</v>
      </c>
      <c r="J58" s="4">
        <f t="shared" si="8"/>
        <v>1.2646108160611873</v>
      </c>
      <c r="K58" s="8">
        <f t="shared" ca="1" si="3"/>
        <v>5.2769246676654458</v>
      </c>
      <c r="L58" s="8">
        <f t="shared" ca="1" si="9"/>
        <v>1.1913783249550511</v>
      </c>
    </row>
    <row r="59" spans="1:12" x14ac:dyDescent="0.4">
      <c r="A59" s="5">
        <v>47</v>
      </c>
      <c r="B59" s="4">
        <f t="shared" si="4"/>
        <v>4.7</v>
      </c>
      <c r="C59" s="4">
        <f t="shared" si="2"/>
        <v>10.37476262917145</v>
      </c>
      <c r="D59" s="8">
        <f t="shared" ca="1" si="0"/>
        <v>10.371379472617841</v>
      </c>
      <c r="E59" s="4">
        <f t="shared" ca="1" si="5"/>
        <v>-0.79403649640988094</v>
      </c>
      <c r="F59" s="4">
        <f t="shared" ca="1" si="11"/>
        <v>1.0860123193867339</v>
      </c>
      <c r="G59" s="4">
        <f t="shared" ca="1" si="11"/>
        <v>5.3612315927765133</v>
      </c>
      <c r="H59" s="8">
        <f t="shared" ca="1" si="1"/>
        <v>5.3635467808650841</v>
      </c>
      <c r="I59" s="4">
        <f t="shared" ca="1" si="7"/>
        <v>5.4326787457140187</v>
      </c>
      <c r="J59" s="4">
        <f t="shared" si="8"/>
        <v>1.1878877118880395</v>
      </c>
      <c r="K59" s="8">
        <f t="shared" ca="1" si="3"/>
        <v>5.3981127632895518</v>
      </c>
      <c r="L59" s="8">
        <f t="shared" ca="1" si="9"/>
        <v>1.118755747039105</v>
      </c>
    </row>
    <row r="60" spans="1:12" x14ac:dyDescent="0.4">
      <c r="A60" s="5">
        <v>48</v>
      </c>
      <c r="B60" s="4">
        <f t="shared" si="4"/>
        <v>4.8000000000000007</v>
      </c>
      <c r="C60" s="4">
        <f t="shared" si="2"/>
        <v>10.250666467128609</v>
      </c>
      <c r="D60" s="8">
        <f t="shared" ca="1" si="0"/>
        <v>10.249880970904028</v>
      </c>
      <c r="E60" s="4">
        <f t="shared" ca="1" si="5"/>
        <v>-0.83613134848270554</v>
      </c>
      <c r="F60" s="4">
        <f t="shared" ca="1" si="11"/>
        <v>1.0023991845384634</v>
      </c>
      <c r="G60" s="4">
        <f t="shared" ca="1" si="11"/>
        <v>5.4614715112303598</v>
      </c>
      <c r="H60" s="8">
        <f t="shared" ca="1" si="1"/>
        <v>5.4783027485885487</v>
      </c>
      <c r="I60" s="4">
        <f t="shared" ca="1" si="7"/>
        <v>5.5445543204179293</v>
      </c>
      <c r="J60" s="4">
        <f t="shared" si="8"/>
        <v>1.1065752036163807</v>
      </c>
      <c r="K60" s="8">
        <f t="shared" ca="1" si="3"/>
        <v>5.5114285345032386</v>
      </c>
      <c r="L60" s="8">
        <f t="shared" ca="1" si="9"/>
        <v>1.0403236317870002</v>
      </c>
    </row>
    <row r="61" spans="1:12" x14ac:dyDescent="0.4">
      <c r="A61" s="5">
        <v>49</v>
      </c>
      <c r="B61" s="4">
        <f t="shared" si="4"/>
        <v>4.9000000000000004</v>
      </c>
      <c r="C61" s="4">
        <f t="shared" si="2"/>
        <v>10.125581039058627</v>
      </c>
      <c r="D61" s="8">
        <f t="shared" ca="1" si="0"/>
        <v>10.133825481582713</v>
      </c>
      <c r="E61" s="4">
        <f t="shared" ca="1" si="5"/>
        <v>-0.86857370295575032</v>
      </c>
      <c r="F61" s="4">
        <f t="shared" ca="1" si="11"/>
        <v>0.91554181424288839</v>
      </c>
      <c r="G61" s="4">
        <f t="shared" ca="1" si="11"/>
        <v>5.5530256926546482</v>
      </c>
      <c r="H61" s="8">
        <f t="shared" ca="1" si="1"/>
        <v>5.5624479185448621</v>
      </c>
      <c r="I61" s="4">
        <f t="shared" ca="1" si="7"/>
        <v>5.648586683596629</v>
      </c>
      <c r="J61" s="4">
        <f t="shared" si="8"/>
        <v>1.0209843299676036</v>
      </c>
      <c r="K61" s="8">
        <f t="shared" ca="1" si="3"/>
        <v>5.605517301070746</v>
      </c>
      <c r="L61" s="8">
        <f t="shared" ca="1" si="9"/>
        <v>0.9348455649158367</v>
      </c>
    </row>
    <row r="62" spans="1:12" x14ac:dyDescent="0.4">
      <c r="A62" s="5">
        <v>50</v>
      </c>
      <c r="B62" s="4">
        <f t="shared" si="4"/>
        <v>5</v>
      </c>
      <c r="C62" s="4">
        <f t="shared" si="2"/>
        <v>10</v>
      </c>
      <c r="D62" s="8">
        <f t="shared" ca="1" si="0"/>
        <v>9.9876234353712832</v>
      </c>
      <c r="E62" s="4">
        <f t="shared" ca="1" si="5"/>
        <v>-0.92791837887160522</v>
      </c>
      <c r="F62" s="4">
        <f t="shared" ref="F62:G77" ca="1" si="12">F61+E62*$E$2</f>
        <v>0.82274997635572789</v>
      </c>
      <c r="G62" s="4">
        <f t="shared" ca="1" si="12"/>
        <v>5.6353006902902214</v>
      </c>
      <c r="H62" s="8">
        <f t="shared" ca="1" si="1"/>
        <v>5.626283049816208</v>
      </c>
      <c r="I62" s="4">
        <f t="shared" ca="1" si="7"/>
        <v>5.7420712400882126</v>
      </c>
      <c r="J62" s="4">
        <f t="shared" si="8"/>
        <v>0.93144400087670587</v>
      </c>
      <c r="K62" s="8">
        <f t="shared" ca="1" si="3"/>
        <v>5.6841771449522103</v>
      </c>
      <c r="L62" s="8">
        <f t="shared" ca="1" si="9"/>
        <v>0.81565581060470127</v>
      </c>
    </row>
    <row r="63" spans="1:12" x14ac:dyDescent="0.4">
      <c r="A63" s="5">
        <v>51</v>
      </c>
      <c r="B63" s="4">
        <f t="shared" si="4"/>
        <v>5.1000000000000005</v>
      </c>
      <c r="C63" s="4">
        <f t="shared" si="2"/>
        <v>9.8744189609413731</v>
      </c>
      <c r="D63" s="8">
        <f t="shared" ca="1" si="0"/>
        <v>9.8671820926415155</v>
      </c>
      <c r="E63" s="4">
        <f t="shared" ca="1" si="5"/>
        <v>-0.95556788371421242</v>
      </c>
      <c r="F63" s="4">
        <f t="shared" ca="1" si="12"/>
        <v>0.72719318798430665</v>
      </c>
      <c r="G63" s="4">
        <f t="shared" ca="1" si="12"/>
        <v>5.7080200090886519</v>
      </c>
      <c r="H63" s="8">
        <f t="shared" ca="1" si="1"/>
        <v>5.7059430343583699</v>
      </c>
      <c r="I63" s="4">
        <f t="shared" ca="1" si="7"/>
        <v>5.8236368211486829</v>
      </c>
      <c r="J63" s="4">
        <f t="shared" si="8"/>
        <v>0.83829960078903532</v>
      </c>
      <c r="K63" s="8">
        <f t="shared" ca="1" si="3"/>
        <v>5.7647899277535259</v>
      </c>
      <c r="L63" s="8">
        <f t="shared" ca="1" si="9"/>
        <v>0.72060581399872237</v>
      </c>
    </row>
    <row r="64" spans="1:12" x14ac:dyDescent="0.4">
      <c r="A64" s="5">
        <v>52</v>
      </c>
      <c r="B64" s="4">
        <f t="shared" si="4"/>
        <v>5.2</v>
      </c>
      <c r="C64" s="4">
        <f t="shared" si="2"/>
        <v>9.7493335328713915</v>
      </c>
      <c r="D64" s="8">
        <f t="shared" ca="1" si="0"/>
        <v>9.9295030417615742</v>
      </c>
      <c r="E64" s="4">
        <f t="shared" ca="1" si="5"/>
        <v>-0.79769014622273249</v>
      </c>
      <c r="F64" s="4">
        <f t="shared" ca="1" si="12"/>
        <v>0.64742417336203339</v>
      </c>
      <c r="G64" s="4">
        <f t="shared" ca="1" si="12"/>
        <v>5.7727624264248556</v>
      </c>
      <c r="H64" s="8">
        <f t="shared" ca="1" si="1"/>
        <v>5.7791880335190715</v>
      </c>
      <c r="I64" s="4">
        <f t="shared" ca="1" si="7"/>
        <v>5.8956974025485547</v>
      </c>
      <c r="J64" s="4">
        <f t="shared" si="8"/>
        <v>0.74191153680426913</v>
      </c>
      <c r="K64" s="8">
        <f t="shared" ca="1" si="3"/>
        <v>5.8374427180338131</v>
      </c>
      <c r="L64" s="8">
        <f t="shared" ca="1" si="9"/>
        <v>0.62540216777478597</v>
      </c>
    </row>
    <row r="65" spans="1:12" x14ac:dyDescent="0.4">
      <c r="A65" s="5">
        <v>53</v>
      </c>
      <c r="B65" s="4">
        <f t="shared" si="4"/>
        <v>5.3000000000000007</v>
      </c>
      <c r="C65" s="4">
        <f t="shared" si="2"/>
        <v>9.6252373708285504</v>
      </c>
      <c r="D65" s="8">
        <f t="shared" ca="1" si="0"/>
        <v>9.6860951806422442</v>
      </c>
      <c r="E65" s="4">
        <f t="shared" ca="1" si="5"/>
        <v>-0.96132899271978922</v>
      </c>
      <c r="F65" s="4">
        <f t="shared" ca="1" si="12"/>
        <v>0.55129127409005441</v>
      </c>
      <c r="G65" s="4">
        <f t="shared" ca="1" si="12"/>
        <v>5.8278915538338607</v>
      </c>
      <c r="H65" s="8">
        <f t="shared" ca="1" si="1"/>
        <v>5.8272492108405007</v>
      </c>
      <c r="I65" s="4">
        <f t="shared" ca="1" si="7"/>
        <v>5.9582376193260336</v>
      </c>
      <c r="J65" s="4">
        <f t="shared" si="8"/>
        <v>0.64265373641098134</v>
      </c>
      <c r="K65" s="8">
        <f t="shared" ca="1" si="3"/>
        <v>5.8927434150832667</v>
      </c>
      <c r="L65" s="8">
        <f t="shared" ca="1" si="9"/>
        <v>0.5116653279254485</v>
      </c>
    </row>
    <row r="66" spans="1:12" x14ac:dyDescent="0.4">
      <c r="A66" s="5">
        <v>54</v>
      </c>
      <c r="B66" s="4">
        <f t="shared" si="4"/>
        <v>5.4</v>
      </c>
      <c r="C66" s="4">
        <f t="shared" si="2"/>
        <v>9.5026202256702916</v>
      </c>
      <c r="D66" s="8">
        <f t="shared" ca="1" si="0"/>
        <v>9.4776427679441362</v>
      </c>
      <c r="E66" s="4">
        <f t="shared" ca="1" si="5"/>
        <v>-1.0736485061459182</v>
      </c>
      <c r="F66" s="4">
        <f t="shared" ca="1" si="12"/>
        <v>0.44392642347546257</v>
      </c>
      <c r="G66" s="4">
        <f t="shared" ca="1" si="12"/>
        <v>5.8722841961814067</v>
      </c>
      <c r="H66" s="8">
        <f t="shared" ca="1" si="1"/>
        <v>5.8719808976580987</v>
      </c>
      <c r="I66" s="4">
        <f t="shared" ca="1" si="7"/>
        <v>6.0094041521185781</v>
      </c>
      <c r="J66" s="4">
        <f t="shared" si="8"/>
        <v>0.54091209985273825</v>
      </c>
      <c r="K66" s="8">
        <f t="shared" ca="1" si="3"/>
        <v>5.9406925248883384</v>
      </c>
      <c r="L66" s="8">
        <f t="shared" ca="1" si="9"/>
        <v>0.40348884539225882</v>
      </c>
    </row>
    <row r="67" spans="1:12" x14ac:dyDescent="0.4">
      <c r="A67" s="5">
        <v>55</v>
      </c>
      <c r="B67" s="4">
        <f t="shared" si="4"/>
        <v>5.5</v>
      </c>
      <c r="C67" s="4">
        <f t="shared" si="2"/>
        <v>9.3819660112501069</v>
      </c>
      <c r="D67" s="8">
        <f t="shared" ca="1" si="0"/>
        <v>9.2715346228976809</v>
      </c>
      <c r="E67" s="4">
        <f t="shared" ca="1" si="5"/>
        <v>-1.1723918005777816</v>
      </c>
      <c r="F67" s="4">
        <f t="shared" ca="1" si="12"/>
        <v>0.3266872434176844</v>
      </c>
      <c r="G67" s="4">
        <f t="shared" ca="1" si="12"/>
        <v>5.9049529205231748</v>
      </c>
      <c r="H67" s="8">
        <f t="shared" ca="1" si="1"/>
        <v>5.9090976007272742</v>
      </c>
      <c r="I67" s="4">
        <f t="shared" ca="1" si="7"/>
        <v>6.0497530366578038</v>
      </c>
      <c r="J67" s="4">
        <f t="shared" si="8"/>
        <v>0.4370829124344936</v>
      </c>
      <c r="K67" s="8">
        <f t="shared" ca="1" si="3"/>
        <v>5.979425318692539</v>
      </c>
      <c r="L67" s="8">
        <f t="shared" ca="1" si="9"/>
        <v>0.29642747650396395</v>
      </c>
    </row>
    <row r="68" spans="1:12" x14ac:dyDescent="0.4">
      <c r="A68" s="5">
        <v>56</v>
      </c>
      <c r="B68" s="4">
        <f t="shared" si="4"/>
        <v>5.6000000000000005</v>
      </c>
      <c r="C68" s="4">
        <f t="shared" si="2"/>
        <v>9.2637508946306433</v>
      </c>
      <c r="D68" s="8">
        <f t="shared" ca="1" si="0"/>
        <v>9.2920387595580127</v>
      </c>
      <c r="E68" s="4">
        <f t="shared" ca="1" si="5"/>
        <v>-1.0346484838596717</v>
      </c>
      <c r="F68" s="4">
        <f t="shared" ca="1" si="12"/>
        <v>0.22322239503171723</v>
      </c>
      <c r="G68" s="4">
        <f t="shared" ca="1" si="12"/>
        <v>5.9272751600263467</v>
      </c>
      <c r="H68" s="8">
        <f t="shared" ca="1" si="1"/>
        <v>5.9326234347109663</v>
      </c>
      <c r="I68" s="4">
        <f t="shared" ca="1" si="7"/>
        <v>6.0793957843082005</v>
      </c>
      <c r="J68" s="4">
        <f t="shared" si="8"/>
        <v>0.33157122231605496</v>
      </c>
      <c r="K68" s="8">
        <f t="shared" ca="1" si="3"/>
        <v>6.006009609509583</v>
      </c>
      <c r="L68" s="8">
        <f t="shared" ca="1" si="9"/>
        <v>0.18479887271882078</v>
      </c>
    </row>
    <row r="69" spans="1:12" x14ac:dyDescent="0.4">
      <c r="A69" s="5">
        <v>57</v>
      </c>
      <c r="B69" s="4">
        <f t="shared" si="4"/>
        <v>5.7</v>
      </c>
      <c r="C69" s="4">
        <f t="shared" si="2"/>
        <v>9.1484414168698542</v>
      </c>
      <c r="D69" s="8">
        <f t="shared" ca="1" si="0"/>
        <v>9.19412724593432</v>
      </c>
      <c r="E69" s="4">
        <f t="shared" ca="1" si="5"/>
        <v>-1.0290951490973972</v>
      </c>
      <c r="F69" s="4">
        <f t="shared" ca="1" si="12"/>
        <v>0.12031288012197751</v>
      </c>
      <c r="G69" s="4">
        <f t="shared" ca="1" si="12"/>
        <v>5.9393064480385442</v>
      </c>
      <c r="H69" s="8">
        <f t="shared" ca="1" si="1"/>
        <v>5.9463369499056213</v>
      </c>
      <c r="I69" s="4">
        <f t="shared" ca="1" si="7"/>
        <v>6.0978756715800824</v>
      </c>
      <c r="J69" s="4">
        <f t="shared" si="8"/>
        <v>0.22478918954751378</v>
      </c>
      <c r="K69" s="8">
        <f t="shared" ca="1" si="3"/>
        <v>6.0221063107428519</v>
      </c>
      <c r="L69" s="8">
        <f t="shared" ca="1" si="9"/>
        <v>7.3250467873052755E-2</v>
      </c>
    </row>
    <row r="70" spans="1:12" x14ac:dyDescent="0.4">
      <c r="A70" s="5">
        <v>58</v>
      </c>
      <c r="B70" s="4">
        <f t="shared" si="4"/>
        <v>5.8000000000000007</v>
      </c>
      <c r="C70" s="4">
        <f t="shared" si="2"/>
        <v>9.0364926517965678</v>
      </c>
      <c r="D70" s="8">
        <f t="shared" ca="1" si="0"/>
        <v>8.8942175265983927</v>
      </c>
      <c r="E70" s="4">
        <f t="shared" ca="1" si="5"/>
        <v>-1.2260953535235848</v>
      </c>
      <c r="F70" s="4">
        <f t="shared" ca="1" si="12"/>
        <v>-2.2966552303809729E-3</v>
      </c>
      <c r="G70" s="4">
        <f t="shared" ca="1" si="12"/>
        <v>5.9390767825155057</v>
      </c>
      <c r="H70" s="8">
        <f t="shared" ca="1" si="1"/>
        <v>5.9568604725837266</v>
      </c>
      <c r="I70" s="4">
        <f t="shared" ca="1" si="7"/>
        <v>6.1052007183673878</v>
      </c>
      <c r="J70" s="4">
        <f t="shared" si="8"/>
        <v>0.11715441227974782</v>
      </c>
      <c r="K70" s="8">
        <f t="shared" ca="1" si="3"/>
        <v>6.0310305954755572</v>
      </c>
      <c r="L70" s="8">
        <f t="shared" ca="1" si="9"/>
        <v>-3.1185833503913296E-2</v>
      </c>
    </row>
    <row r="71" spans="1:12" x14ac:dyDescent="0.4">
      <c r="A71" s="5">
        <v>59</v>
      </c>
      <c r="B71" s="4">
        <f t="shared" si="4"/>
        <v>5.9</v>
      </c>
      <c r="C71" s="4">
        <f t="shared" si="2"/>
        <v>8.9283464100420069</v>
      </c>
      <c r="D71" s="8">
        <f t="shared" ca="1" si="0"/>
        <v>8.9192170446882013</v>
      </c>
      <c r="E71" s="4">
        <f t="shared" ca="1" si="5"/>
        <v>-1.0784863000814178</v>
      </c>
      <c r="F71" s="4">
        <f t="shared" ca="1" si="12"/>
        <v>-0.11014528523852275</v>
      </c>
      <c r="G71" s="4">
        <f t="shared" ca="1" si="12"/>
        <v>5.9280622539916532</v>
      </c>
      <c r="H71" s="8">
        <f t="shared" ca="1" si="1"/>
        <v>5.938531399158216</v>
      </c>
      <c r="I71" s="4">
        <f t="shared" ca="1" si="7"/>
        <v>6.102082135016996</v>
      </c>
      <c r="J71" s="4">
        <f t="shared" si="8"/>
        <v>9.0882362314298054E-3</v>
      </c>
      <c r="K71" s="8">
        <f t="shared" ca="1" si="3"/>
        <v>6.0203067670876056</v>
      </c>
      <c r="L71" s="8">
        <f t="shared" ca="1" si="9"/>
        <v>-0.1544624996273502</v>
      </c>
    </row>
    <row r="72" spans="1:12" x14ac:dyDescent="0.4">
      <c r="A72" s="5">
        <v>60</v>
      </c>
      <c r="B72" s="4">
        <f t="shared" si="4"/>
        <v>6</v>
      </c>
      <c r="C72" s="4">
        <f t="shared" si="2"/>
        <v>8.8244294954150533</v>
      </c>
      <c r="D72" s="8">
        <f t="shared" ca="1" si="0"/>
        <v>8.9557710604939373</v>
      </c>
      <c r="E72" s="4">
        <f t="shared" ca="1" si="5"/>
        <v>-0.93408365426753992</v>
      </c>
      <c r="F72" s="4">
        <f t="shared" ca="1" si="12"/>
        <v>-0.20355365066527675</v>
      </c>
      <c r="G72" s="4">
        <f t="shared" ca="1" si="12"/>
        <v>5.9077068889251256</v>
      </c>
      <c r="H72" s="8">
        <f t="shared" ca="1" si="1"/>
        <v>5.897498335010896</v>
      </c>
      <c r="I72" s="4">
        <f t="shared" ca="1" si="7"/>
        <v>6.0866358850542612</v>
      </c>
      <c r="J72" s="4">
        <f t="shared" si="8"/>
        <v>-9.89859463875125E-2</v>
      </c>
      <c r="K72" s="8">
        <f t="shared" ca="1" si="3"/>
        <v>5.9920671100325791</v>
      </c>
      <c r="L72" s="8">
        <f t="shared" ca="1" si="9"/>
        <v>-0.2881234964308777</v>
      </c>
    </row>
    <row r="73" spans="1:12" x14ac:dyDescent="0.4">
      <c r="A73" s="5">
        <v>61</v>
      </c>
      <c r="B73" s="4">
        <f t="shared" si="4"/>
        <v>6.1000000000000005</v>
      </c>
      <c r="C73" s="4">
        <f t="shared" si="2"/>
        <v>8.7251520205026196</v>
      </c>
      <c r="D73" s="8">
        <f t="shared" ca="1" si="0"/>
        <v>8.6281487200270632</v>
      </c>
      <c r="E73" s="4">
        <f t="shared" ca="1" si="5"/>
        <v>-1.1682976293076601</v>
      </c>
      <c r="F73" s="4">
        <f t="shared" ca="1" si="12"/>
        <v>-0.32038341359604278</v>
      </c>
      <c r="G73" s="4">
        <f t="shared" ca="1" si="12"/>
        <v>5.875668547565521</v>
      </c>
      <c r="H73" s="8">
        <f t="shared" ca="1" si="1"/>
        <v>5.8850013017851106</v>
      </c>
      <c r="I73" s="4">
        <f t="shared" ca="1" si="7"/>
        <v>6.0578235354111731</v>
      </c>
      <c r="J73" s="4">
        <f t="shared" si="8"/>
        <v>-0.20664440220725594</v>
      </c>
      <c r="K73" s="8">
        <f t="shared" ca="1" si="3"/>
        <v>5.9714124185981419</v>
      </c>
      <c r="L73" s="8">
        <f t="shared" ca="1" si="9"/>
        <v>-0.37946663583331847</v>
      </c>
    </row>
    <row r="74" spans="1:12" x14ac:dyDescent="0.4">
      <c r="A74" s="5">
        <v>62</v>
      </c>
      <c r="B74" s="4">
        <f t="shared" si="4"/>
        <v>6.2</v>
      </c>
      <c r="C74" s="4">
        <f t="shared" si="2"/>
        <v>8.6309057881426234</v>
      </c>
      <c r="D74" s="8">
        <f t="shared" ca="1" si="0"/>
        <v>8.7189352174863135</v>
      </c>
      <c r="E74" s="4">
        <f t="shared" ca="1" si="5"/>
        <v>-0.96068136891764366</v>
      </c>
      <c r="F74" s="4">
        <f t="shared" ca="1" si="12"/>
        <v>-0.41645155048780713</v>
      </c>
      <c r="G74" s="4">
        <f t="shared" ca="1" si="12"/>
        <v>5.8340233925167402</v>
      </c>
      <c r="H74" s="8">
        <f t="shared" ca="1" si="1"/>
        <v>5.8502072978873949</v>
      </c>
      <c r="I74" s="4">
        <f t="shared" ca="1" si="7"/>
        <v>6.019876871827841</v>
      </c>
      <c r="J74" s="4">
        <f t="shared" si="8"/>
        <v>-0.31346475993626843</v>
      </c>
      <c r="K74" s="8">
        <f t="shared" ca="1" si="3"/>
        <v>5.935042084857618</v>
      </c>
      <c r="L74" s="8">
        <f t="shared" ca="1" si="9"/>
        <v>-0.48313433387671456</v>
      </c>
    </row>
    <row r="75" spans="1:12" x14ac:dyDescent="0.4">
      <c r="A75" s="5">
        <v>63</v>
      </c>
      <c r="B75" s="4">
        <f t="shared" si="4"/>
        <v>6.3000000000000007</v>
      </c>
      <c r="C75" s="4">
        <f t="shared" si="2"/>
        <v>8.5420627451571765</v>
      </c>
      <c r="D75" s="8">
        <f t="shared" ca="1" si="0"/>
        <v>8.6702137982150003</v>
      </c>
      <c r="E75" s="4">
        <f t="shared" ca="1" si="5"/>
        <v>-0.9133346512971926</v>
      </c>
      <c r="F75" s="4">
        <f t="shared" ca="1" si="12"/>
        <v>-0.50778501561752643</v>
      </c>
      <c r="G75" s="4">
        <f t="shared" ca="1" si="12"/>
        <v>5.7832448909549878</v>
      </c>
      <c r="H75" s="8">
        <f t="shared" ca="1" si="1"/>
        <v>5.7816231151526312</v>
      </c>
      <c r="I75" s="4">
        <f t="shared" ca="1" si="7"/>
        <v>5.9715634384401692</v>
      </c>
      <c r="J75" s="4">
        <f t="shared" si="8"/>
        <v>-0.41902770512837928</v>
      </c>
      <c r="K75" s="8">
        <f t="shared" ca="1" si="3"/>
        <v>5.8765932767964006</v>
      </c>
      <c r="L75" s="8">
        <f t="shared" ca="1" si="9"/>
        <v>-0.60896802841591735</v>
      </c>
    </row>
    <row r="76" spans="1:12" x14ac:dyDescent="0.4">
      <c r="A76" s="5">
        <v>64</v>
      </c>
      <c r="B76" s="4">
        <f t="shared" si="4"/>
        <v>6.4</v>
      </c>
      <c r="C76" s="4">
        <f t="shared" si="2"/>
        <v>8.4589735144484219</v>
      </c>
      <c r="D76" s="8">
        <f t="shared" ca="1" si="0"/>
        <v>8.4052687998649578</v>
      </c>
      <c r="E76" s="4">
        <f t="shared" ca="1" si="5"/>
        <v>-1.0869461845175157</v>
      </c>
      <c r="F76" s="4">
        <f t="shared" ca="1" si="12"/>
        <v>-0.61647963406927797</v>
      </c>
      <c r="G76" s="4">
        <f t="shared" ca="1" si="12"/>
        <v>5.7215969275480596</v>
      </c>
      <c r="H76" s="8">
        <f t="shared" ref="H76:H112" ca="1" si="13">G76+IF($C$6&lt;=0,0,_xlfn.NORM.INV(RAND(),0,$C$6))</f>
        <v>5.7258702233733478</v>
      </c>
      <c r="I76" s="4">
        <f t="shared" ca="1" si="7"/>
        <v>5.9106666355985773</v>
      </c>
      <c r="J76" s="4">
        <f t="shared" si="8"/>
        <v>-0.52291866009982368</v>
      </c>
      <c r="K76" s="8">
        <f t="shared" ca="1" si="3"/>
        <v>5.818268429485963</v>
      </c>
      <c r="L76" s="8">
        <f t="shared" ca="1" si="9"/>
        <v>-0.70771507232505315</v>
      </c>
    </row>
    <row r="77" spans="1:12" x14ac:dyDescent="0.4">
      <c r="A77" s="5">
        <v>65</v>
      </c>
      <c r="B77" s="4">
        <f t="shared" si="4"/>
        <v>6.5</v>
      </c>
      <c r="C77" s="4">
        <f t="shared" ref="C77:C112" si="14">10+2*SIN(B77*2*PI()/10)</f>
        <v>8.3819660112501051</v>
      </c>
      <c r="D77" s="8">
        <f t="shared" ref="D77:D112" ca="1" si="15">C77+IF($B$6&lt;=0,0,_xlfn.NORM.INV(RAND(),0,$B$6))</f>
        <v>8.226949017858745</v>
      </c>
      <c r="E77" s="4">
        <f t="shared" ca="1" si="5"/>
        <v>-1.156571348071977</v>
      </c>
      <c r="F77" s="4">
        <f t="shared" ca="1" si="12"/>
        <v>-0.73213676887647572</v>
      </c>
      <c r="G77" s="4">
        <f t="shared" ca="1" si="12"/>
        <v>5.6483832506604124</v>
      </c>
      <c r="H77" s="8">
        <f t="shared" ca="1" si="13"/>
        <v>5.6434355588167113</v>
      </c>
      <c r="I77" s="4">
        <f t="shared" ca="1" si="7"/>
        <v>5.8398951283660718</v>
      </c>
      <c r="J77" s="4">
        <f t="shared" si="8"/>
        <v>-0.62472944264499919</v>
      </c>
      <c r="K77" s="8">
        <f t="shared" ref="K77:K112" ca="1" si="16">I77+$B$8*(H77-I77)</f>
        <v>5.7416653435913911</v>
      </c>
      <c r="L77" s="8">
        <f t="shared" ca="1" si="9"/>
        <v>-0.82118901219435969</v>
      </c>
    </row>
    <row r="78" spans="1:12" x14ac:dyDescent="0.4">
      <c r="A78" s="5">
        <v>66</v>
      </c>
      <c r="B78" s="4">
        <f t="shared" ref="B78:B112" si="17">A78*$E$2</f>
        <v>6.6000000000000005</v>
      </c>
      <c r="C78" s="4">
        <f t="shared" si="14"/>
        <v>8.3113441489959712</v>
      </c>
      <c r="D78" s="8">
        <f t="shared" ca="1" si="15"/>
        <v>8.2933746153693786</v>
      </c>
      <c r="E78" s="4">
        <f t="shared" ref="E78:E112" ca="1" si="18">(D78+$C$2+$D$2*F77)/$B$2</f>
        <v>-0.97448861575414569</v>
      </c>
      <c r="F78" s="4">
        <f t="shared" ref="F78:G93" ca="1" si="19">F77+E78*$E$2</f>
        <v>-0.82958563045189027</v>
      </c>
      <c r="G78" s="4">
        <f t="shared" ca="1" si="19"/>
        <v>5.5654246876152236</v>
      </c>
      <c r="H78" s="8">
        <f t="shared" ca="1" si="13"/>
        <v>5.5989981363085102</v>
      </c>
      <c r="I78" s="4">
        <f t="shared" ref="I78:I112" ca="1" si="20">I77+L77*$E$2</f>
        <v>5.7577762271466355</v>
      </c>
      <c r="J78" s="4">
        <f t="shared" ref="J78:J112" si="21">(1+$D$2*$E$2/$B$2)*J77+$E$2*(C77+$C$2)/$B$2</f>
        <v>-0.7240598972554888</v>
      </c>
      <c r="K78" s="8">
        <f t="shared" ca="1" si="16"/>
        <v>5.6783871817275724</v>
      </c>
      <c r="L78" s="8">
        <f t="shared" ref="L78:L112" ca="1" si="22">J78+$C$8*(H78-I78)/$E$2</f>
        <v>-0.88283798809361413</v>
      </c>
    </row>
    <row r="79" spans="1:12" x14ac:dyDescent="0.4">
      <c r="A79" s="5">
        <v>67</v>
      </c>
      <c r="B79" s="4">
        <f t="shared" si="17"/>
        <v>6.7</v>
      </c>
      <c r="C79" s="4">
        <f t="shared" si="14"/>
        <v>8.2473866399122731</v>
      </c>
      <c r="D79" s="8">
        <f t="shared" ca="1" si="15"/>
        <v>8.2773340037706156</v>
      </c>
      <c r="E79" s="4">
        <f t="shared" ca="1" si="18"/>
        <v>-0.89308036577749417</v>
      </c>
      <c r="F79" s="4">
        <f t="shared" ca="1" si="19"/>
        <v>-0.9188936670296397</v>
      </c>
      <c r="G79" s="4">
        <f t="shared" ca="1" si="19"/>
        <v>5.4735353209122595</v>
      </c>
      <c r="H79" s="8">
        <f t="shared" ca="1" si="13"/>
        <v>5.4693673952684918</v>
      </c>
      <c r="I79" s="4">
        <f t="shared" ca="1" si="20"/>
        <v>5.6694924283372741</v>
      </c>
      <c r="J79" s="4">
        <f t="shared" si="21"/>
        <v>-0.82051949263034274</v>
      </c>
      <c r="K79" s="8">
        <f t="shared" ca="1" si="16"/>
        <v>5.5694299118028834</v>
      </c>
      <c r="L79" s="8">
        <f t="shared" ca="1" si="22"/>
        <v>-1.020644525699125</v>
      </c>
    </row>
    <row r="80" spans="1:12" x14ac:dyDescent="0.4">
      <c r="A80" s="5">
        <v>68</v>
      </c>
      <c r="B80" s="4">
        <f t="shared" si="17"/>
        <v>6.8000000000000007</v>
      </c>
      <c r="C80" s="4">
        <f t="shared" si="14"/>
        <v>8.19034589506796</v>
      </c>
      <c r="D80" s="8">
        <f t="shared" ca="1" si="15"/>
        <v>8.1657601400987403</v>
      </c>
      <c r="E80" s="4">
        <f t="shared" ca="1" si="18"/>
        <v>-0.91534619287162</v>
      </c>
      <c r="F80" s="4">
        <f t="shared" ca="1" si="19"/>
        <v>-1.0104282863168017</v>
      </c>
      <c r="G80" s="4">
        <f t="shared" ca="1" si="19"/>
        <v>5.3724924922805792</v>
      </c>
      <c r="H80" s="8">
        <f t="shared" ca="1" si="13"/>
        <v>5.3709197363327785</v>
      </c>
      <c r="I80" s="4">
        <f t="shared" ca="1" si="20"/>
        <v>5.5674279757673615</v>
      </c>
      <c r="J80" s="4">
        <f t="shared" si="21"/>
        <v>-0.91372887937608116</v>
      </c>
      <c r="K80" s="8">
        <f t="shared" ca="1" si="16"/>
        <v>5.4691738560500696</v>
      </c>
      <c r="L80" s="8">
        <f t="shared" ca="1" si="22"/>
        <v>-1.1102371188106641</v>
      </c>
    </row>
    <row r="81" spans="1:12" x14ac:dyDescent="0.4">
      <c r="A81" s="5">
        <v>69</v>
      </c>
      <c r="B81" s="4">
        <f t="shared" si="17"/>
        <v>6.9</v>
      </c>
      <c r="C81" s="4">
        <f t="shared" si="14"/>
        <v>8.1404470282234964</v>
      </c>
      <c r="D81" s="8">
        <f t="shared" ca="1" si="15"/>
        <v>8.2137709691949219</v>
      </c>
      <c r="E81" s="4">
        <f t="shared" ca="1" si="18"/>
        <v>-0.77580074448827641</v>
      </c>
      <c r="F81" s="4">
        <f t="shared" ca="1" si="19"/>
        <v>-1.0880083607656292</v>
      </c>
      <c r="G81" s="4">
        <f t="shared" ca="1" si="19"/>
        <v>5.2636916562040161</v>
      </c>
      <c r="H81" s="8">
        <f t="shared" ca="1" si="13"/>
        <v>5.2580926110812873</v>
      </c>
      <c r="I81" s="4">
        <f t="shared" ca="1" si="20"/>
        <v>5.4564042638862951</v>
      </c>
      <c r="J81" s="4">
        <f t="shared" si="21"/>
        <v>-1.003321401931677</v>
      </c>
      <c r="K81" s="8">
        <f t="shared" ca="1" si="16"/>
        <v>5.3572484374837916</v>
      </c>
      <c r="L81" s="8">
        <f t="shared" ca="1" si="22"/>
        <v>-1.2016330547366847</v>
      </c>
    </row>
    <row r="82" spans="1:12" x14ac:dyDescent="0.4">
      <c r="A82" s="5">
        <v>70</v>
      </c>
      <c r="B82" s="4">
        <f t="shared" si="17"/>
        <v>7</v>
      </c>
      <c r="C82" s="4">
        <f t="shared" si="14"/>
        <v>8.0978869674096927</v>
      </c>
      <c r="D82" s="8">
        <f t="shared" ca="1" si="15"/>
        <v>8.1022535603726666</v>
      </c>
      <c r="E82" s="4">
        <f t="shared" ca="1" si="18"/>
        <v>-0.80973807886170412</v>
      </c>
      <c r="F82" s="4">
        <f t="shared" ca="1" si="19"/>
        <v>-1.1689821686517996</v>
      </c>
      <c r="G82" s="4">
        <f t="shared" ca="1" si="19"/>
        <v>5.1467934393388362</v>
      </c>
      <c r="H82" s="8">
        <f t="shared" ca="1" si="13"/>
        <v>5.1287435134782653</v>
      </c>
      <c r="I82" s="4">
        <f t="shared" ca="1" si="20"/>
        <v>5.3362409584126267</v>
      </c>
      <c r="J82" s="4">
        <f t="shared" si="21"/>
        <v>-1.0889445589161597</v>
      </c>
      <c r="K82" s="8">
        <f t="shared" ca="1" si="16"/>
        <v>5.232492235945446</v>
      </c>
      <c r="L82" s="8">
        <f t="shared" ca="1" si="22"/>
        <v>-1.2964420038505211</v>
      </c>
    </row>
    <row r="83" spans="1:12" x14ac:dyDescent="0.4">
      <c r="A83" s="5">
        <v>71</v>
      </c>
      <c r="B83" s="4">
        <f t="shared" si="17"/>
        <v>7.1000000000000005</v>
      </c>
      <c r="C83" s="4">
        <f t="shared" si="14"/>
        <v>8.0628336777427378</v>
      </c>
      <c r="D83" s="8">
        <f t="shared" ca="1" si="15"/>
        <v>8.0256143916714517</v>
      </c>
      <c r="E83" s="4">
        <f t="shared" ca="1" si="18"/>
        <v>-0.80540343967674866</v>
      </c>
      <c r="F83" s="4">
        <f t="shared" ca="1" si="19"/>
        <v>-1.2495225126194744</v>
      </c>
      <c r="G83" s="4">
        <f t="shared" ca="1" si="19"/>
        <v>5.0218411880768885</v>
      </c>
      <c r="H83" s="8">
        <f t="shared" ca="1" si="13"/>
        <v>5.0377084740669362</v>
      </c>
      <c r="I83" s="4">
        <f t="shared" ca="1" si="20"/>
        <v>5.2065967580275743</v>
      </c>
      <c r="J83" s="4">
        <f t="shared" si="21"/>
        <v>-1.1702614062835746</v>
      </c>
      <c r="K83" s="8">
        <f t="shared" ca="1" si="16"/>
        <v>5.1221526160472557</v>
      </c>
      <c r="L83" s="8">
        <f t="shared" ca="1" si="22"/>
        <v>-1.3391496902442126</v>
      </c>
    </row>
    <row r="84" spans="1:12" x14ac:dyDescent="0.4">
      <c r="A84" s="5">
        <v>72</v>
      </c>
      <c r="B84" s="4">
        <f t="shared" si="17"/>
        <v>7.2</v>
      </c>
      <c r="C84" s="4">
        <f t="shared" si="14"/>
        <v>8.0354254985426223</v>
      </c>
      <c r="D84" s="8">
        <f t="shared" ca="1" si="15"/>
        <v>8.192734603713193</v>
      </c>
      <c r="E84" s="4">
        <f t="shared" ca="1" si="18"/>
        <v>-0.5577428836673326</v>
      </c>
      <c r="F84" s="4">
        <f t="shared" ca="1" si="19"/>
        <v>-1.3052968009862078</v>
      </c>
      <c r="G84" s="4">
        <f t="shared" ca="1" si="19"/>
        <v>4.8913115079782674</v>
      </c>
      <c r="H84" s="8">
        <f t="shared" ca="1" si="13"/>
        <v>4.8953960407580688</v>
      </c>
      <c r="I84" s="4">
        <f t="shared" ca="1" si="20"/>
        <v>5.0726817890031528</v>
      </c>
      <c r="J84" s="4">
        <f t="shared" si="21"/>
        <v>-1.2469518978809433</v>
      </c>
      <c r="K84" s="8">
        <f t="shared" ca="1" si="16"/>
        <v>4.9840389148806103</v>
      </c>
      <c r="L84" s="8">
        <f t="shared" ca="1" si="22"/>
        <v>-1.4242376461260273</v>
      </c>
    </row>
    <row r="85" spans="1:12" x14ac:dyDescent="0.4">
      <c r="A85" s="5">
        <v>73</v>
      </c>
      <c r="B85" s="4">
        <f t="shared" si="17"/>
        <v>7.3000000000000007</v>
      </c>
      <c r="C85" s="4">
        <f t="shared" si="14"/>
        <v>8.0157705973710449</v>
      </c>
      <c r="D85" s="8">
        <f t="shared" ca="1" si="15"/>
        <v>7.8947719332937973</v>
      </c>
      <c r="E85" s="4">
        <f t="shared" ca="1" si="18"/>
        <v>-0.79993126571999484</v>
      </c>
      <c r="F85" s="4">
        <f t="shared" ca="1" si="19"/>
        <v>-1.3852899275582073</v>
      </c>
      <c r="G85" s="4">
        <f t="shared" ca="1" si="19"/>
        <v>4.7527825152224468</v>
      </c>
      <c r="H85" s="8">
        <f t="shared" ca="1" si="13"/>
        <v>4.7550321578308887</v>
      </c>
      <c r="I85" s="4">
        <f t="shared" ca="1" si="20"/>
        <v>4.9302580243905503</v>
      </c>
      <c r="J85" s="4">
        <f t="shared" si="21"/>
        <v>-1.3187141582385866</v>
      </c>
      <c r="K85" s="8">
        <f t="shared" ca="1" si="16"/>
        <v>4.8426450911107199</v>
      </c>
      <c r="L85" s="8">
        <f t="shared" ca="1" si="22"/>
        <v>-1.4939400247982482</v>
      </c>
    </row>
    <row r="86" spans="1:12" x14ac:dyDescent="0.4">
      <c r="A86" s="5">
        <v>74</v>
      </c>
      <c r="B86" s="4">
        <f t="shared" si="17"/>
        <v>7.4</v>
      </c>
      <c r="C86" s="4">
        <f t="shared" si="14"/>
        <v>8.0039465431434564</v>
      </c>
      <c r="D86" s="8">
        <f t="shared" ca="1" si="15"/>
        <v>8.0001543745449677</v>
      </c>
      <c r="E86" s="4">
        <f t="shared" ca="1" si="18"/>
        <v>-0.61455569789682496</v>
      </c>
      <c r="F86" s="4">
        <f t="shared" ca="1" si="19"/>
        <v>-1.4467454973478899</v>
      </c>
      <c r="G86" s="4">
        <f t="shared" ca="1" si="19"/>
        <v>4.6081079654876582</v>
      </c>
      <c r="H86" s="8">
        <f t="shared" ca="1" si="13"/>
        <v>4.5962398769916479</v>
      </c>
      <c r="I86" s="4">
        <f t="shared" ca="1" si="20"/>
        <v>4.780864021910725</v>
      </c>
      <c r="J86" s="4">
        <f t="shared" si="21"/>
        <v>-1.3852656826776237</v>
      </c>
      <c r="K86" s="8">
        <f t="shared" ca="1" si="16"/>
        <v>4.6885519494511865</v>
      </c>
      <c r="L86" s="8">
        <f t="shared" ca="1" si="22"/>
        <v>-1.5698898275967008</v>
      </c>
    </row>
    <row r="87" spans="1:12" x14ac:dyDescent="0.4">
      <c r="A87" s="5">
        <v>75</v>
      </c>
      <c r="B87" s="4">
        <f t="shared" si="17"/>
        <v>7.5</v>
      </c>
      <c r="C87" s="4">
        <f t="shared" si="14"/>
        <v>8</v>
      </c>
      <c r="D87" s="8">
        <f t="shared" ca="1" si="15"/>
        <v>8.1034280295767829</v>
      </c>
      <c r="E87" s="4">
        <f t="shared" ca="1" si="18"/>
        <v>-0.44982647307532719</v>
      </c>
      <c r="F87" s="4">
        <f t="shared" ca="1" si="19"/>
        <v>-1.4917281446554227</v>
      </c>
      <c r="G87" s="4">
        <f t="shared" ca="1" si="19"/>
        <v>4.458935151022116</v>
      </c>
      <c r="H87" s="8">
        <f t="shared" ca="1" si="13"/>
        <v>4.4595819870641611</v>
      </c>
      <c r="I87" s="4">
        <f t="shared" ca="1" si="20"/>
        <v>4.6238750391510548</v>
      </c>
      <c r="J87" s="4">
        <f t="shared" si="21"/>
        <v>-1.4463444600955158</v>
      </c>
      <c r="K87" s="8">
        <f t="shared" ca="1" si="16"/>
        <v>4.5417285131076079</v>
      </c>
      <c r="L87" s="8">
        <f t="shared" ca="1" si="22"/>
        <v>-1.6106375121824095</v>
      </c>
    </row>
    <row r="88" spans="1:12" x14ac:dyDescent="0.4">
      <c r="A88" s="5">
        <v>76</v>
      </c>
      <c r="B88" s="4">
        <f t="shared" si="17"/>
        <v>7.6000000000000005</v>
      </c>
      <c r="C88" s="4">
        <f t="shared" si="14"/>
        <v>8.0039465431434564</v>
      </c>
      <c r="D88" s="8">
        <f t="shared" ca="1" si="15"/>
        <v>8.0595713662411015</v>
      </c>
      <c r="E88" s="4">
        <f t="shared" ca="1" si="18"/>
        <v>-0.44870048910347582</v>
      </c>
      <c r="F88" s="4">
        <f t="shared" ca="1" si="19"/>
        <v>-1.5365981935657702</v>
      </c>
      <c r="G88" s="4">
        <f t="shared" ca="1" si="19"/>
        <v>4.3052753316655394</v>
      </c>
      <c r="H88" s="8">
        <f t="shared" ca="1" si="13"/>
        <v>4.3151214953549069</v>
      </c>
      <c r="I88" s="4">
        <f t="shared" ca="1" si="20"/>
        <v>4.4628112879328139</v>
      </c>
      <c r="J88" s="4">
        <f t="shared" si="21"/>
        <v>-1.5017100140859643</v>
      </c>
      <c r="K88" s="8">
        <f t="shared" ca="1" si="16"/>
        <v>4.3889663916438604</v>
      </c>
      <c r="L88" s="8">
        <f t="shared" ca="1" si="22"/>
        <v>-1.6493998066638713</v>
      </c>
    </row>
    <row r="89" spans="1:12" x14ac:dyDescent="0.4">
      <c r="A89" s="5">
        <v>77</v>
      </c>
      <c r="B89" s="4">
        <f t="shared" si="17"/>
        <v>7.7</v>
      </c>
      <c r="C89" s="4">
        <f t="shared" si="14"/>
        <v>8.0157705973710449</v>
      </c>
      <c r="D89" s="8">
        <f t="shared" ca="1" si="15"/>
        <v>7.9675325356784636</v>
      </c>
      <c r="E89" s="4">
        <f t="shared" ca="1" si="18"/>
        <v>-0.49586927075576614</v>
      </c>
      <c r="F89" s="4">
        <f t="shared" ca="1" si="19"/>
        <v>-1.5861851206413469</v>
      </c>
      <c r="G89" s="4">
        <f t="shared" ca="1" si="19"/>
        <v>4.1466568196014046</v>
      </c>
      <c r="H89" s="8">
        <f t="shared" ca="1" si="13"/>
        <v>4.1464496309373944</v>
      </c>
      <c r="I89" s="4">
        <f t="shared" ca="1" si="20"/>
        <v>4.2978713072664263</v>
      </c>
      <c r="J89" s="4">
        <f t="shared" si="21"/>
        <v>-1.5511443583630222</v>
      </c>
      <c r="K89" s="8">
        <f t="shared" ca="1" si="16"/>
        <v>4.2221604691019099</v>
      </c>
      <c r="L89" s="8">
        <f t="shared" ca="1" si="22"/>
        <v>-1.7025660346920541</v>
      </c>
    </row>
    <row r="90" spans="1:12" x14ac:dyDescent="0.4">
      <c r="A90" s="5">
        <v>78</v>
      </c>
      <c r="B90" s="4">
        <f t="shared" si="17"/>
        <v>7.8000000000000007</v>
      </c>
      <c r="C90" s="4">
        <f t="shared" si="14"/>
        <v>8.0354254985426223</v>
      </c>
      <c r="D90" s="8">
        <f t="shared" ca="1" si="15"/>
        <v>8.0091161019282406</v>
      </c>
      <c r="E90" s="4">
        <f t="shared" ca="1" si="18"/>
        <v>-0.40469877743041249</v>
      </c>
      <c r="F90" s="4">
        <f t="shared" ca="1" si="19"/>
        <v>-1.6266549983843881</v>
      </c>
      <c r="G90" s="4">
        <f t="shared" ca="1" si="19"/>
        <v>3.9839913197629659</v>
      </c>
      <c r="H90" s="8">
        <f t="shared" ca="1" si="13"/>
        <v>4.0127433523318699</v>
      </c>
      <c r="I90" s="4">
        <f t="shared" ca="1" si="20"/>
        <v>4.1276147037972208</v>
      </c>
      <c r="J90" s="4">
        <f t="shared" si="21"/>
        <v>-1.5944528627896157</v>
      </c>
      <c r="K90" s="8">
        <f t="shared" ca="1" si="16"/>
        <v>4.0701790280645458</v>
      </c>
      <c r="L90" s="8">
        <f t="shared" ca="1" si="22"/>
        <v>-1.7093242142549667</v>
      </c>
    </row>
    <row r="91" spans="1:12" x14ac:dyDescent="0.4">
      <c r="A91" s="5">
        <v>79</v>
      </c>
      <c r="B91" s="4">
        <f t="shared" si="17"/>
        <v>7.9</v>
      </c>
      <c r="C91" s="4">
        <f t="shared" si="14"/>
        <v>8.0628336777427378</v>
      </c>
      <c r="D91" s="8">
        <f t="shared" ca="1" si="15"/>
        <v>8.0159938711062875</v>
      </c>
      <c r="E91" s="4">
        <f t="shared" ca="1" si="18"/>
        <v>-0.35735113050932443</v>
      </c>
      <c r="F91" s="4">
        <f t="shared" ca="1" si="19"/>
        <v>-1.6623901114353206</v>
      </c>
      <c r="G91" s="4">
        <f t="shared" ca="1" si="19"/>
        <v>3.817752308619434</v>
      </c>
      <c r="H91" s="8">
        <f t="shared" ca="1" si="13"/>
        <v>3.8189203766213558</v>
      </c>
      <c r="I91" s="4">
        <f t="shared" ca="1" si="20"/>
        <v>3.956682282371724</v>
      </c>
      <c r="J91" s="4">
        <f t="shared" si="21"/>
        <v>-1.6314650266563921</v>
      </c>
      <c r="K91" s="8">
        <f t="shared" ca="1" si="16"/>
        <v>3.8878013294965399</v>
      </c>
      <c r="L91" s="8">
        <f t="shared" ca="1" si="22"/>
        <v>-1.7692269324067604</v>
      </c>
    </row>
    <row r="92" spans="1:12" x14ac:dyDescent="0.4">
      <c r="A92" s="5">
        <v>80</v>
      </c>
      <c r="B92" s="4">
        <f t="shared" si="17"/>
        <v>8</v>
      </c>
      <c r="C92" s="4">
        <f t="shared" si="14"/>
        <v>8.0978869674096927</v>
      </c>
      <c r="D92" s="8">
        <f t="shared" ca="1" si="15"/>
        <v>8.1775783781089668</v>
      </c>
      <c r="E92" s="4">
        <f t="shared" ca="1" si="18"/>
        <v>-0.16003151045571262</v>
      </c>
      <c r="F92" s="4">
        <f t="shared" ca="1" si="19"/>
        <v>-1.6783932624808919</v>
      </c>
      <c r="G92" s="4">
        <f t="shared" ca="1" si="19"/>
        <v>3.6499129823713448</v>
      </c>
      <c r="H92" s="8">
        <f t="shared" ca="1" si="13"/>
        <v>3.6547881251889915</v>
      </c>
      <c r="I92" s="4">
        <f t="shared" ca="1" si="20"/>
        <v>3.7797595891310478</v>
      </c>
      <c r="J92" s="4">
        <f t="shared" si="21"/>
        <v>-1.6620351562164792</v>
      </c>
      <c r="K92" s="8">
        <f t="shared" ca="1" si="16"/>
        <v>3.7172738571600199</v>
      </c>
      <c r="L92" s="8">
        <f t="shared" ca="1" si="22"/>
        <v>-1.7870066201585355</v>
      </c>
    </row>
    <row r="93" spans="1:12" x14ac:dyDescent="0.4">
      <c r="A93" s="5">
        <v>81</v>
      </c>
      <c r="B93" s="4">
        <f t="shared" si="17"/>
        <v>8.1</v>
      </c>
      <c r="C93" s="4">
        <f t="shared" si="14"/>
        <v>8.1404470282234964</v>
      </c>
      <c r="D93" s="8">
        <f t="shared" ca="1" si="15"/>
        <v>8.0268230903044291</v>
      </c>
      <c r="E93" s="4">
        <f t="shared" ca="1" si="18"/>
        <v>-0.29478364721467898</v>
      </c>
      <c r="F93" s="4">
        <f t="shared" ca="1" si="19"/>
        <v>-1.7078716272023597</v>
      </c>
      <c r="G93" s="4">
        <f t="shared" ca="1" si="19"/>
        <v>3.4791258196511086</v>
      </c>
      <c r="H93" s="8">
        <f t="shared" ca="1" si="13"/>
        <v>3.4740401778850072</v>
      </c>
      <c r="I93" s="4">
        <f t="shared" ca="1" si="20"/>
        <v>3.6010589271151945</v>
      </c>
      <c r="J93" s="4">
        <f t="shared" si="21"/>
        <v>-1.686042943853862</v>
      </c>
      <c r="K93" s="8">
        <f t="shared" ca="1" si="16"/>
        <v>3.5375495525001011</v>
      </c>
      <c r="L93" s="8">
        <f t="shared" ca="1" si="22"/>
        <v>-1.8130616930840493</v>
      </c>
    </row>
    <row r="94" spans="1:12" x14ac:dyDescent="0.4">
      <c r="A94" s="5">
        <v>82</v>
      </c>
      <c r="B94" s="4">
        <f t="shared" si="17"/>
        <v>8.2000000000000011</v>
      </c>
      <c r="C94" s="4">
        <f t="shared" si="14"/>
        <v>8.1903458950679617</v>
      </c>
      <c r="D94" s="8">
        <f t="shared" ca="1" si="15"/>
        <v>8.067594264515801</v>
      </c>
      <c r="E94" s="4">
        <f t="shared" ca="1" si="18"/>
        <v>-0.22453410828183928</v>
      </c>
      <c r="F94" s="4">
        <f t="shared" ref="F94:G109" ca="1" si="23">F93+E94*$E$2</f>
        <v>-1.7303250380305437</v>
      </c>
      <c r="G94" s="4">
        <f t="shared" ca="1" si="23"/>
        <v>3.3060933158480541</v>
      </c>
      <c r="H94" s="8">
        <f t="shared" ca="1" si="13"/>
        <v>3.3024607920927509</v>
      </c>
      <c r="I94" s="4">
        <f t="shared" ca="1" si="20"/>
        <v>3.4197527578067897</v>
      </c>
      <c r="J94" s="4">
        <f t="shared" si="21"/>
        <v>-1.7033939466461261</v>
      </c>
      <c r="K94" s="8">
        <f t="shared" ca="1" si="16"/>
        <v>3.3611067749497705</v>
      </c>
      <c r="L94" s="8">
        <f t="shared" ca="1" si="22"/>
        <v>-1.8206859123601649</v>
      </c>
    </row>
    <row r="95" spans="1:12" x14ac:dyDescent="0.4">
      <c r="A95" s="5">
        <v>83</v>
      </c>
      <c r="B95" s="4">
        <f t="shared" si="17"/>
        <v>8.3000000000000007</v>
      </c>
      <c r="C95" s="4">
        <f t="shared" si="14"/>
        <v>8.2473866399122731</v>
      </c>
      <c r="D95" s="8">
        <f t="shared" ca="1" si="15"/>
        <v>8.3878153476412916</v>
      </c>
      <c r="E95" s="4">
        <f t="shared" ca="1" si="18"/>
        <v>0.11814038567183527</v>
      </c>
      <c r="F95" s="4">
        <f t="shared" ca="1" si="23"/>
        <v>-1.7185109994633603</v>
      </c>
      <c r="G95" s="4">
        <f t="shared" ca="1" si="23"/>
        <v>3.1342422159017183</v>
      </c>
      <c r="H95" s="8">
        <f t="shared" ca="1" si="13"/>
        <v>3.1293031309880548</v>
      </c>
      <c r="I95" s="4">
        <f t="shared" ca="1" si="20"/>
        <v>3.237684166570773</v>
      </c>
      <c r="J95" s="4">
        <f t="shared" si="21"/>
        <v>-1.7140199624747174</v>
      </c>
      <c r="K95" s="8">
        <f t="shared" ca="1" si="16"/>
        <v>3.1834936487794137</v>
      </c>
      <c r="L95" s="8">
        <f t="shared" ca="1" si="22"/>
        <v>-1.8224009980574356</v>
      </c>
    </row>
    <row r="96" spans="1:12" x14ac:dyDescent="0.4">
      <c r="A96" s="5">
        <v>84</v>
      </c>
      <c r="B96" s="4">
        <f t="shared" si="17"/>
        <v>8.4</v>
      </c>
      <c r="C96" s="4">
        <f t="shared" si="14"/>
        <v>8.3113441489959694</v>
      </c>
      <c r="D96" s="8">
        <f t="shared" ca="1" si="15"/>
        <v>8.5059755455340884</v>
      </c>
      <c r="E96" s="4">
        <f t="shared" ca="1" si="18"/>
        <v>0.22448654499744869</v>
      </c>
      <c r="F96" s="4">
        <f t="shared" ca="1" si="23"/>
        <v>-1.6960623449636154</v>
      </c>
      <c r="G96" s="4">
        <f t="shared" ca="1" si="23"/>
        <v>2.9646359814053569</v>
      </c>
      <c r="H96" s="8">
        <f t="shared" ca="1" si="13"/>
        <v>2.961990479236134</v>
      </c>
      <c r="I96" s="4">
        <f t="shared" ca="1" si="20"/>
        <v>3.0554440667650296</v>
      </c>
      <c r="J96" s="4">
        <f t="shared" si="21"/>
        <v>-1.7178793022360184</v>
      </c>
      <c r="K96" s="8">
        <f t="shared" ca="1" si="16"/>
        <v>3.008717273000582</v>
      </c>
      <c r="L96" s="8">
        <f t="shared" ca="1" si="22"/>
        <v>-1.8113328897649139</v>
      </c>
    </row>
    <row r="97" spans="1:12" x14ac:dyDescent="0.4">
      <c r="A97" s="5">
        <v>85</v>
      </c>
      <c r="B97" s="4">
        <f t="shared" si="17"/>
        <v>8.5</v>
      </c>
      <c r="C97" s="4">
        <f t="shared" si="14"/>
        <v>8.3819660112501051</v>
      </c>
      <c r="D97" s="8">
        <f t="shared" ca="1" si="15"/>
        <v>8.3771348310467406</v>
      </c>
      <c r="E97" s="4">
        <f t="shared" ca="1" si="18"/>
        <v>7.3197176010356024E-2</v>
      </c>
      <c r="F97" s="4">
        <f t="shared" ca="1" si="23"/>
        <v>-1.6887426273625799</v>
      </c>
      <c r="G97" s="4">
        <f t="shared" ca="1" si="23"/>
        <v>2.7957617186690991</v>
      </c>
      <c r="H97" s="8">
        <f t="shared" ca="1" si="13"/>
        <v>2.7845170623786744</v>
      </c>
      <c r="I97" s="4">
        <f t="shared" ca="1" si="20"/>
        <v>2.8743107777885379</v>
      </c>
      <c r="J97" s="4">
        <f t="shared" si="21"/>
        <v>-1.7149569571128196</v>
      </c>
      <c r="K97" s="8">
        <f t="shared" ca="1" si="16"/>
        <v>2.8294139200836064</v>
      </c>
      <c r="L97" s="8">
        <f t="shared" ca="1" si="22"/>
        <v>-1.8047506725226832</v>
      </c>
    </row>
    <row r="98" spans="1:12" x14ac:dyDescent="0.4">
      <c r="A98" s="5">
        <v>86</v>
      </c>
      <c r="B98" s="4">
        <f t="shared" si="17"/>
        <v>8.6</v>
      </c>
      <c r="C98" s="4">
        <f t="shared" si="14"/>
        <v>8.4589735144484202</v>
      </c>
      <c r="D98" s="8">
        <f t="shared" ca="1" si="15"/>
        <v>8.3180793882958088</v>
      </c>
      <c r="E98" s="4">
        <f t="shared" ca="1" si="18"/>
        <v>6.8220156583886915E-3</v>
      </c>
      <c r="F98" s="4">
        <f t="shared" ca="1" si="23"/>
        <v>-1.6880604257967411</v>
      </c>
      <c r="G98" s="4">
        <f t="shared" ca="1" si="23"/>
        <v>2.626955676089425</v>
      </c>
      <c r="H98" s="8">
        <f t="shared" ca="1" si="13"/>
        <v>2.6222249645847553</v>
      </c>
      <c r="I98" s="4">
        <f t="shared" ca="1" si="20"/>
        <v>2.6938357105362698</v>
      </c>
      <c r="J98" s="4">
        <f t="shared" si="21"/>
        <v>-1.7052646602765273</v>
      </c>
      <c r="K98" s="8">
        <f t="shared" ca="1" si="16"/>
        <v>2.6580303375605125</v>
      </c>
      <c r="L98" s="8">
        <f t="shared" ca="1" si="22"/>
        <v>-1.7768754062280419</v>
      </c>
    </row>
    <row r="99" spans="1:12" x14ac:dyDescent="0.4">
      <c r="A99" s="5">
        <v>87</v>
      </c>
      <c r="B99" s="4">
        <f t="shared" si="17"/>
        <v>8.7000000000000011</v>
      </c>
      <c r="C99" s="4">
        <f t="shared" si="14"/>
        <v>8.5420627451571765</v>
      </c>
      <c r="D99" s="8">
        <f t="shared" ca="1" si="15"/>
        <v>8.399795957221432</v>
      </c>
      <c r="E99" s="4">
        <f t="shared" ca="1" si="18"/>
        <v>8.7856383018173112E-2</v>
      </c>
      <c r="F99" s="4">
        <f t="shared" ca="1" si="23"/>
        <v>-1.6792747874949239</v>
      </c>
      <c r="G99" s="4">
        <f t="shared" ca="1" si="23"/>
        <v>2.4590281973399328</v>
      </c>
      <c r="H99" s="8">
        <f t="shared" ca="1" si="13"/>
        <v>2.4691752368613931</v>
      </c>
      <c r="I99" s="4">
        <f t="shared" ca="1" si="20"/>
        <v>2.5161481699134658</v>
      </c>
      <c r="J99" s="4">
        <f t="shared" si="21"/>
        <v>-1.6888408428040327</v>
      </c>
      <c r="K99" s="8">
        <f t="shared" ca="1" si="16"/>
        <v>2.4926617033874292</v>
      </c>
      <c r="L99" s="8">
        <f t="shared" ca="1" si="22"/>
        <v>-1.7358137758561054</v>
      </c>
    </row>
    <row r="100" spans="1:12" x14ac:dyDescent="0.4">
      <c r="A100" s="5">
        <v>88</v>
      </c>
      <c r="B100" s="4">
        <f t="shared" si="17"/>
        <v>8.8000000000000007</v>
      </c>
      <c r="C100" s="4">
        <f t="shared" si="14"/>
        <v>8.6309057881426234</v>
      </c>
      <c r="D100" s="8">
        <f t="shared" ca="1" si="15"/>
        <v>8.7016913059402476</v>
      </c>
      <c r="E100" s="4">
        <f t="shared" ca="1" si="18"/>
        <v>0.38096609343517152</v>
      </c>
      <c r="F100" s="4">
        <f t="shared" ca="1" si="23"/>
        <v>-1.6411781781514068</v>
      </c>
      <c r="G100" s="4">
        <f t="shared" ca="1" si="23"/>
        <v>2.2949103795247923</v>
      </c>
      <c r="H100" s="8">
        <f t="shared" ca="1" si="13"/>
        <v>2.2804235394451351</v>
      </c>
      <c r="I100" s="4">
        <f t="shared" ca="1" si="20"/>
        <v>2.3425667923278555</v>
      </c>
      <c r="J100" s="4">
        <f t="shared" si="21"/>
        <v>-1.6657504840079118</v>
      </c>
      <c r="K100" s="8">
        <f t="shared" ca="1" si="16"/>
        <v>2.3114951658864955</v>
      </c>
      <c r="L100" s="8">
        <f t="shared" ca="1" si="22"/>
        <v>-1.7278937368906322</v>
      </c>
    </row>
    <row r="101" spans="1:12" x14ac:dyDescent="0.4">
      <c r="A101" s="5">
        <v>89</v>
      </c>
      <c r="B101" s="4">
        <f t="shared" si="17"/>
        <v>8.9</v>
      </c>
      <c r="C101" s="4">
        <f t="shared" si="14"/>
        <v>8.7251520205026214</v>
      </c>
      <c r="D101" s="8">
        <f t="shared" ca="1" si="15"/>
        <v>8.6573580270775281</v>
      </c>
      <c r="E101" s="4">
        <f t="shared" ca="1" si="18"/>
        <v>0.29853620522893487</v>
      </c>
      <c r="F101" s="4">
        <f t="shared" ca="1" si="23"/>
        <v>-1.6113245576285133</v>
      </c>
      <c r="G101" s="4">
        <f t="shared" ca="1" si="23"/>
        <v>2.133777923761941</v>
      </c>
      <c r="H101" s="8">
        <f t="shared" ca="1" si="13"/>
        <v>2.1300745449171496</v>
      </c>
      <c r="I101" s="4">
        <f t="shared" ca="1" si="20"/>
        <v>2.1697774186387924</v>
      </c>
      <c r="J101" s="4">
        <f t="shared" si="21"/>
        <v>-1.6360848567928583</v>
      </c>
      <c r="K101" s="8">
        <f t="shared" ca="1" si="16"/>
        <v>2.149925981777971</v>
      </c>
      <c r="L101" s="8">
        <f t="shared" ca="1" si="22"/>
        <v>-1.675787730514501</v>
      </c>
    </row>
    <row r="102" spans="1:12" x14ac:dyDescent="0.4">
      <c r="A102" s="5">
        <v>90</v>
      </c>
      <c r="B102" s="4">
        <f t="shared" si="17"/>
        <v>9</v>
      </c>
      <c r="C102" s="4">
        <f t="shared" si="14"/>
        <v>8.8244294954150533</v>
      </c>
      <c r="D102" s="8">
        <f t="shared" ca="1" si="15"/>
        <v>8.894097651086101</v>
      </c>
      <c r="E102" s="4">
        <f t="shared" ca="1" si="18"/>
        <v>0.5054222087146143</v>
      </c>
      <c r="F102" s="4">
        <f t="shared" ca="1" si="23"/>
        <v>-1.5607823367570519</v>
      </c>
      <c r="G102" s="4">
        <f t="shared" ca="1" si="23"/>
        <v>1.9776996900862358</v>
      </c>
      <c r="H102" s="8">
        <f t="shared" ca="1" si="13"/>
        <v>1.9766572487420737</v>
      </c>
      <c r="I102" s="4">
        <f t="shared" ca="1" si="20"/>
        <v>2.0021986455873422</v>
      </c>
      <c r="J102" s="4">
        <f t="shared" si="21"/>
        <v>-1.5999611690633102</v>
      </c>
      <c r="K102" s="8">
        <f t="shared" ca="1" si="16"/>
        <v>1.9894279471647081</v>
      </c>
      <c r="L102" s="8">
        <f t="shared" ca="1" si="22"/>
        <v>-1.6255025659085787</v>
      </c>
    </row>
    <row r="103" spans="1:12" x14ac:dyDescent="0.4">
      <c r="A103" s="5">
        <v>91</v>
      </c>
      <c r="B103" s="4">
        <f t="shared" si="17"/>
        <v>9.1</v>
      </c>
      <c r="C103" s="4">
        <f t="shared" si="14"/>
        <v>8.9283464100420051</v>
      </c>
      <c r="D103" s="8">
        <f t="shared" ca="1" si="15"/>
        <v>8.9616699830518396</v>
      </c>
      <c r="E103" s="4">
        <f t="shared" ca="1" si="18"/>
        <v>0.52245231980889151</v>
      </c>
      <c r="F103" s="4">
        <f t="shared" ca="1" si="23"/>
        <v>-1.5085371047761629</v>
      </c>
      <c r="G103" s="4">
        <f t="shared" ca="1" si="23"/>
        <v>1.8268459796086196</v>
      </c>
      <c r="H103" s="8">
        <f t="shared" ca="1" si="13"/>
        <v>1.8337062808183331</v>
      </c>
      <c r="I103" s="4">
        <f t="shared" ca="1" si="20"/>
        <v>1.8396483889964843</v>
      </c>
      <c r="J103" s="4">
        <f t="shared" si="21"/>
        <v>-1.5575221026154737</v>
      </c>
      <c r="K103" s="8">
        <f t="shared" ca="1" si="16"/>
        <v>1.8366773349074088</v>
      </c>
      <c r="L103" s="8">
        <f t="shared" ca="1" si="22"/>
        <v>-1.563464210793625</v>
      </c>
    </row>
    <row r="104" spans="1:12" x14ac:dyDescent="0.4">
      <c r="A104" s="5">
        <v>92</v>
      </c>
      <c r="B104" s="4">
        <f t="shared" si="17"/>
        <v>9.2000000000000011</v>
      </c>
      <c r="C104" s="4">
        <f t="shared" si="14"/>
        <v>9.0364926517965714</v>
      </c>
      <c r="D104" s="8">
        <f t="shared" ca="1" si="15"/>
        <v>9.0869132878897911</v>
      </c>
      <c r="E104" s="4">
        <f t="shared" ca="1" si="18"/>
        <v>0.59545039266595401</v>
      </c>
      <c r="F104" s="4">
        <f t="shared" ca="1" si="23"/>
        <v>-1.4489920655095674</v>
      </c>
      <c r="G104" s="4">
        <f t="shared" ca="1" si="23"/>
        <v>1.6819467730576629</v>
      </c>
      <c r="H104" s="8">
        <f t="shared" ca="1" si="13"/>
        <v>1.6928051626469747</v>
      </c>
      <c r="I104" s="4">
        <f t="shared" ca="1" si="20"/>
        <v>1.6833019679171217</v>
      </c>
      <c r="J104" s="4">
        <f t="shared" si="21"/>
        <v>-1.5089352513497258</v>
      </c>
      <c r="K104" s="8">
        <f t="shared" ca="1" si="16"/>
        <v>1.6880535652820483</v>
      </c>
      <c r="L104" s="8">
        <f t="shared" ca="1" si="22"/>
        <v>-1.4994320566198729</v>
      </c>
    </row>
    <row r="105" spans="1:12" x14ac:dyDescent="0.4">
      <c r="A105" s="5">
        <v>93</v>
      </c>
      <c r="B105" s="4">
        <f t="shared" si="17"/>
        <v>9.3000000000000007</v>
      </c>
      <c r="C105" s="4">
        <f t="shared" si="14"/>
        <v>9.148441416869856</v>
      </c>
      <c r="D105" s="8">
        <f t="shared" ca="1" si="15"/>
        <v>9.3157169571246659</v>
      </c>
      <c r="E105" s="4">
        <f t="shared" ca="1" si="18"/>
        <v>0.76470902263423324</v>
      </c>
      <c r="F105" s="4">
        <f t="shared" ca="1" si="23"/>
        <v>-1.372521163246144</v>
      </c>
      <c r="G105" s="4">
        <f t="shared" ca="1" si="23"/>
        <v>1.5446946567330486</v>
      </c>
      <c r="H105" s="8">
        <f t="shared" ca="1" si="13"/>
        <v>1.5385187426623537</v>
      </c>
      <c r="I105" s="4">
        <f t="shared" ca="1" si="20"/>
        <v>1.5333587622551343</v>
      </c>
      <c r="J105" s="4">
        <f t="shared" si="21"/>
        <v>-1.4543924610350962</v>
      </c>
      <c r="K105" s="8">
        <f t="shared" ca="1" si="16"/>
        <v>1.535938752458744</v>
      </c>
      <c r="L105" s="8">
        <f t="shared" ca="1" si="22"/>
        <v>-1.4492324806278769</v>
      </c>
    </row>
    <row r="106" spans="1:12" x14ac:dyDescent="0.4">
      <c r="A106" s="5">
        <v>94</v>
      </c>
      <c r="B106" s="4">
        <f t="shared" si="17"/>
        <v>9.4</v>
      </c>
      <c r="C106" s="4">
        <f t="shared" si="14"/>
        <v>9.263750894630645</v>
      </c>
      <c r="D106" s="8">
        <f t="shared" ca="1" si="15"/>
        <v>9.1240836990847356</v>
      </c>
      <c r="E106" s="4">
        <f t="shared" ca="1" si="18"/>
        <v>0.49660486233087964</v>
      </c>
      <c r="F106" s="4">
        <f t="shared" ca="1" si="23"/>
        <v>-1.322860677013056</v>
      </c>
      <c r="G106" s="4">
        <f t="shared" ca="1" si="23"/>
        <v>1.412408589031743</v>
      </c>
      <c r="H106" s="8">
        <f t="shared" ca="1" si="13"/>
        <v>1.4018102015523177</v>
      </c>
      <c r="I106" s="4">
        <f t="shared" ca="1" si="20"/>
        <v>1.3884355141923466</v>
      </c>
      <c r="J106" s="4">
        <f t="shared" si="21"/>
        <v>-1.3941090732446009</v>
      </c>
      <c r="K106" s="8">
        <f t="shared" ca="1" si="16"/>
        <v>1.395122857872332</v>
      </c>
      <c r="L106" s="8">
        <f t="shared" ca="1" si="22"/>
        <v>-1.3807343858846297</v>
      </c>
    </row>
    <row r="107" spans="1:12" x14ac:dyDescent="0.4">
      <c r="A107" s="5">
        <v>95</v>
      </c>
      <c r="B107" s="4">
        <f t="shared" si="17"/>
        <v>9.5</v>
      </c>
      <c r="C107" s="4">
        <f t="shared" si="14"/>
        <v>9.3819660112501051</v>
      </c>
      <c r="D107" s="8">
        <f t="shared" ca="1" si="15"/>
        <v>9.3206665602337608</v>
      </c>
      <c r="E107" s="4">
        <f t="shared" ca="1" si="18"/>
        <v>0.64352723724681682</v>
      </c>
      <c r="F107" s="4">
        <f t="shared" ca="1" si="23"/>
        <v>-1.2585079532883743</v>
      </c>
      <c r="G107" s="4">
        <f t="shared" ca="1" si="23"/>
        <v>1.2865577937029056</v>
      </c>
      <c r="H107" s="8">
        <f t="shared" ca="1" si="13"/>
        <v>1.292069648596482</v>
      </c>
      <c r="I107" s="4">
        <f t="shared" ca="1" si="20"/>
        <v>1.2503620756038836</v>
      </c>
      <c r="J107" s="4">
        <f t="shared" si="21"/>
        <v>-1.3283230764570764</v>
      </c>
      <c r="K107" s="8">
        <f t="shared" ca="1" si="16"/>
        <v>1.2712158621001828</v>
      </c>
      <c r="L107" s="8">
        <f t="shared" ca="1" si="22"/>
        <v>-1.2866155034644779</v>
      </c>
    </row>
    <row r="108" spans="1:12" x14ac:dyDescent="0.4">
      <c r="A108" s="5">
        <v>96</v>
      </c>
      <c r="B108" s="4">
        <f t="shared" si="17"/>
        <v>9.6000000000000014</v>
      </c>
      <c r="C108" s="4">
        <f t="shared" si="14"/>
        <v>9.5026202256702916</v>
      </c>
      <c r="D108" s="8">
        <f t="shared" ca="1" si="15"/>
        <v>9.3396993669834991</v>
      </c>
      <c r="E108" s="4">
        <f t="shared" ca="1" si="18"/>
        <v>0.5982073202718734</v>
      </c>
      <c r="F108" s="4">
        <f t="shared" ca="1" si="23"/>
        <v>-1.198687221261187</v>
      </c>
      <c r="G108" s="4">
        <f t="shared" ca="1" si="23"/>
        <v>1.1666890715767868</v>
      </c>
      <c r="H108" s="8">
        <f t="shared" ca="1" si="13"/>
        <v>1.1529951792175319</v>
      </c>
      <c r="I108" s="4">
        <f t="shared" ca="1" si="20"/>
        <v>1.1217005252574357</v>
      </c>
      <c r="J108" s="4">
        <f t="shared" si="21"/>
        <v>-1.2572941676863583</v>
      </c>
      <c r="K108" s="8">
        <f t="shared" ca="1" si="16"/>
        <v>1.1373478522374838</v>
      </c>
      <c r="L108" s="8">
        <f t="shared" ca="1" si="22"/>
        <v>-1.225999513726262</v>
      </c>
    </row>
    <row r="109" spans="1:12" x14ac:dyDescent="0.4">
      <c r="A109" s="5">
        <v>97</v>
      </c>
      <c r="B109" s="4">
        <f t="shared" si="17"/>
        <v>9.7000000000000011</v>
      </c>
      <c r="C109" s="4">
        <f t="shared" si="14"/>
        <v>9.6252373708285504</v>
      </c>
      <c r="D109" s="8">
        <f t="shared" ca="1" si="15"/>
        <v>9.916640548491916</v>
      </c>
      <c r="E109" s="4">
        <f t="shared" ca="1" si="18"/>
        <v>1.115327769753103</v>
      </c>
      <c r="F109" s="4">
        <f t="shared" ca="1" si="23"/>
        <v>-1.0871544442858767</v>
      </c>
      <c r="G109" s="4">
        <f t="shared" ca="1" si="23"/>
        <v>1.0579736271481992</v>
      </c>
      <c r="H109" s="8">
        <f t="shared" ca="1" si="13"/>
        <v>1.0574546247282164</v>
      </c>
      <c r="I109" s="4">
        <f t="shared" ca="1" si="20"/>
        <v>0.99910057388480944</v>
      </c>
      <c r="J109" s="4">
        <f t="shared" si="21"/>
        <v>-1.1813027283506934</v>
      </c>
      <c r="K109" s="8">
        <f t="shared" ca="1" si="16"/>
        <v>1.028277599306513</v>
      </c>
      <c r="L109" s="8">
        <f t="shared" ca="1" si="22"/>
        <v>-1.1229486775072863</v>
      </c>
    </row>
    <row r="110" spans="1:12" x14ac:dyDescent="0.4">
      <c r="A110" s="5">
        <v>98</v>
      </c>
      <c r="B110" s="4">
        <f t="shared" si="17"/>
        <v>9.8000000000000007</v>
      </c>
      <c r="C110" s="4">
        <f t="shared" si="14"/>
        <v>9.7493335328713933</v>
      </c>
      <c r="D110" s="8">
        <f t="shared" ca="1" si="15"/>
        <v>9.5887345766327154</v>
      </c>
      <c r="E110" s="4">
        <f t="shared" ca="1" si="18"/>
        <v>0.67588902091859215</v>
      </c>
      <c r="F110" s="4">
        <f t="shared" ref="F110:G112" ca="1" si="24">F109+E110*$E$2</f>
        <v>-1.0195655421940175</v>
      </c>
      <c r="G110" s="4">
        <f t="shared" ca="1" si="24"/>
        <v>0.95601707292879745</v>
      </c>
      <c r="H110" s="8">
        <f t="shared" ca="1" si="13"/>
        <v>0.95081545371076071</v>
      </c>
      <c r="I110" s="4">
        <f t="shared" ca="1" si="20"/>
        <v>0.88680570613408083</v>
      </c>
      <c r="J110" s="4">
        <f t="shared" si="21"/>
        <v>-1.1006487184327691</v>
      </c>
      <c r="K110" s="8">
        <f t="shared" ca="1" si="16"/>
        <v>0.91881057992242077</v>
      </c>
      <c r="L110" s="8">
        <f t="shared" ca="1" si="22"/>
        <v>-1.0366389708560892</v>
      </c>
    </row>
    <row r="111" spans="1:12" x14ac:dyDescent="0.4">
      <c r="A111" s="5">
        <v>99</v>
      </c>
      <c r="B111" s="4">
        <f t="shared" si="17"/>
        <v>9.9</v>
      </c>
      <c r="C111" s="4">
        <f t="shared" si="14"/>
        <v>9.8744189609413731</v>
      </c>
      <c r="D111" s="8">
        <f t="shared" ca="1" si="15"/>
        <v>9.990960960173437</v>
      </c>
      <c r="E111" s="4">
        <f t="shared" ca="1" si="18"/>
        <v>1.0105265023674546</v>
      </c>
      <c r="F111" s="4">
        <f t="shared" ca="1" si="24"/>
        <v>-0.91851289195727204</v>
      </c>
      <c r="G111" s="4">
        <f t="shared" ca="1" si="24"/>
        <v>0.86416578373307029</v>
      </c>
      <c r="H111" s="8">
        <f t="shared" ca="1" si="13"/>
        <v>0.87057697283322721</v>
      </c>
      <c r="I111" s="4">
        <f t="shared" ca="1" si="20"/>
        <v>0.78314180904847186</v>
      </c>
      <c r="J111" s="4">
        <f t="shared" si="21"/>
        <v>-1.0156504933023529</v>
      </c>
      <c r="K111" s="8">
        <f t="shared" ca="1" si="16"/>
        <v>0.82685939094084948</v>
      </c>
      <c r="L111" s="8">
        <f t="shared" ca="1" si="22"/>
        <v>-0.92821532951759755</v>
      </c>
    </row>
    <row r="112" spans="1:12" x14ac:dyDescent="0.4">
      <c r="A112" s="5">
        <v>100</v>
      </c>
      <c r="B112" s="4">
        <f t="shared" si="17"/>
        <v>10</v>
      </c>
      <c r="C112" s="4">
        <f t="shared" si="14"/>
        <v>10</v>
      </c>
      <c r="D112" s="8">
        <f t="shared" ca="1" si="15"/>
        <v>10.026026467932091</v>
      </c>
      <c r="E112" s="4">
        <f t="shared" ca="1" si="18"/>
        <v>0.94453935988936322</v>
      </c>
      <c r="F112" s="4">
        <f t="shared" ca="1" si="24"/>
        <v>-0.82405895596833567</v>
      </c>
      <c r="G112" s="4">
        <f t="shared" ca="1" si="24"/>
        <v>0.78175988813623676</v>
      </c>
      <c r="H112" s="8">
        <f t="shared" ca="1" si="13"/>
        <v>0.78465077623985324</v>
      </c>
      <c r="I112" s="4">
        <f t="shared" ca="1" si="20"/>
        <v>0.69032027609671209</v>
      </c>
      <c r="J112" s="4">
        <f t="shared" si="21"/>
        <v>-0.92664354787798031</v>
      </c>
      <c r="K112" s="8">
        <f t="shared" ca="1" si="16"/>
        <v>0.73748552616828267</v>
      </c>
      <c r="L112" s="8">
        <f t="shared" ca="1" si="22"/>
        <v>-0.83231304773483916</v>
      </c>
    </row>
    <row r="113" spans="8:8" x14ac:dyDescent="0.4">
      <c r="H113" s="8"/>
    </row>
  </sheetData>
  <mergeCells count="4">
    <mergeCell ref="A1:A2"/>
    <mergeCell ref="A3:A4"/>
    <mergeCell ref="A5:A6"/>
    <mergeCell ref="A7:A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140-D283-4018-995A-0FD5745F8B99}">
  <dimension ref="A1:S113"/>
  <sheetViews>
    <sheetView topLeftCell="G43" zoomScale="55" zoomScaleNormal="55" workbookViewId="0">
      <selection activeCell="C9" sqref="C9"/>
    </sheetView>
  </sheetViews>
  <sheetFormatPr defaultColWidth="9.25" defaultRowHeight="20" x14ac:dyDescent="0.4"/>
  <cols>
    <col min="1" max="1" width="9.5625" style="4" bestFit="1" customWidth="1"/>
    <col min="2" max="2" width="21.3125" style="4" bestFit="1" customWidth="1"/>
    <col min="3" max="3" width="25.5625" style="4" bestFit="1" customWidth="1"/>
    <col min="4" max="4" width="24.3125" style="4" bestFit="1" customWidth="1"/>
    <col min="5" max="5" width="23.8125" style="4" bestFit="1" customWidth="1"/>
    <col min="6" max="6" width="20.0625" style="4" bestFit="1" customWidth="1"/>
    <col min="7" max="7" width="18.3125" style="4" bestFit="1" customWidth="1"/>
    <col min="8" max="8" width="25.25" style="4" bestFit="1" customWidth="1"/>
    <col min="9" max="9" width="19.0625" style="4" bestFit="1" customWidth="1"/>
    <col min="10" max="10" width="20.75" style="4" bestFit="1" customWidth="1"/>
    <col min="11" max="11" width="19.8125" style="4" bestFit="1" customWidth="1"/>
    <col min="12" max="12" width="21.5625" style="4" bestFit="1" customWidth="1"/>
    <col min="13" max="16384" width="9.25" style="4"/>
  </cols>
  <sheetData>
    <row r="1" spans="1:19" s="2" customFormat="1" x14ac:dyDescent="0.4">
      <c r="A1" s="13" t="s">
        <v>0</v>
      </c>
      <c r="B1" s="1" t="s">
        <v>7</v>
      </c>
      <c r="C1" s="1" t="s">
        <v>5</v>
      </c>
      <c r="D1" s="1" t="s">
        <v>4</v>
      </c>
      <c r="E1" s="1" t="s">
        <v>3</v>
      </c>
      <c r="F1" s="12"/>
      <c r="G1" s="12"/>
    </row>
    <row r="2" spans="1:19" s="2" customFormat="1" x14ac:dyDescent="0.4">
      <c r="A2" s="13"/>
      <c r="B2" s="2">
        <v>1</v>
      </c>
      <c r="C2" s="2">
        <v>-10</v>
      </c>
      <c r="D2" s="2">
        <v>-1</v>
      </c>
      <c r="E2" s="2">
        <v>0.1</v>
      </c>
    </row>
    <row r="3" spans="1:19" s="2" customFormat="1" x14ac:dyDescent="0.4">
      <c r="A3" s="14" t="s">
        <v>2</v>
      </c>
      <c r="B3" s="3" t="s">
        <v>6</v>
      </c>
      <c r="C3" s="3" t="s">
        <v>8</v>
      </c>
    </row>
    <row r="4" spans="1:19" s="2" customFormat="1" x14ac:dyDescent="0.4">
      <c r="A4" s="14"/>
      <c r="B4" s="2">
        <v>0</v>
      </c>
      <c r="C4" s="2">
        <v>0</v>
      </c>
    </row>
    <row r="5" spans="1:19" s="2" customFormat="1" x14ac:dyDescent="0.4">
      <c r="A5" s="15" t="s">
        <v>10</v>
      </c>
      <c r="B5" s="10" t="s">
        <v>12</v>
      </c>
      <c r="C5" s="10" t="s">
        <v>11</v>
      </c>
      <c r="D5" s="7"/>
    </row>
    <row r="6" spans="1:19" s="2" customFormat="1" x14ac:dyDescent="0.4">
      <c r="A6" s="16"/>
      <c r="B6" s="2">
        <v>0.1</v>
      </c>
      <c r="C6" s="2">
        <v>0.01</v>
      </c>
    </row>
    <row r="7" spans="1:19" s="2" customFormat="1" x14ac:dyDescent="0.4">
      <c r="A7" s="17" t="s">
        <v>0</v>
      </c>
      <c r="B7" s="11" t="s">
        <v>23</v>
      </c>
      <c r="C7" s="11" t="s">
        <v>24</v>
      </c>
    </row>
    <row r="8" spans="1:19" s="2" customFormat="1" x14ac:dyDescent="0.4">
      <c r="A8" s="18"/>
      <c r="B8" s="2">
        <v>0.5</v>
      </c>
      <c r="C8" s="2">
        <v>0.1</v>
      </c>
    </row>
    <row r="9" spans="1:19" x14ac:dyDescent="0.4">
      <c r="O9" s="2"/>
      <c r="P9" s="2"/>
      <c r="Q9" s="2"/>
      <c r="R9" s="2"/>
      <c r="S9" s="2"/>
    </row>
    <row r="10" spans="1:19" x14ac:dyDescent="0.4">
      <c r="O10" s="2"/>
      <c r="P10" s="2"/>
      <c r="Q10" s="2"/>
      <c r="R10" s="2"/>
      <c r="S10" s="2"/>
    </row>
    <row r="11" spans="1:19" x14ac:dyDescent="0.4">
      <c r="A11" s="9" t="s">
        <v>1</v>
      </c>
      <c r="B11" s="9" t="s">
        <v>9</v>
      </c>
      <c r="C11" s="9" t="s">
        <v>13</v>
      </c>
      <c r="D11" s="9" t="s">
        <v>18</v>
      </c>
      <c r="E11" s="9" t="s">
        <v>14</v>
      </c>
      <c r="F11" s="9" t="s">
        <v>15</v>
      </c>
      <c r="G11" s="9" t="s">
        <v>16</v>
      </c>
      <c r="H11" s="9" t="s">
        <v>17</v>
      </c>
      <c r="I11" s="9" t="s">
        <v>22</v>
      </c>
      <c r="J11" s="9" t="s">
        <v>21</v>
      </c>
      <c r="K11" s="9" t="s">
        <v>19</v>
      </c>
      <c r="L11" s="9" t="s">
        <v>20</v>
      </c>
      <c r="O11" s="2"/>
      <c r="P11" s="2"/>
      <c r="Q11" s="2"/>
      <c r="R11" s="2"/>
      <c r="S11" s="2"/>
    </row>
    <row r="12" spans="1:19" x14ac:dyDescent="0.4">
      <c r="A12" s="5">
        <v>0</v>
      </c>
      <c r="B12" s="4">
        <v>0</v>
      </c>
      <c r="C12" s="4">
        <v>10</v>
      </c>
      <c r="D12" s="8">
        <f t="shared" ref="D12:D76" ca="1" si="0">C12+IF($B$6&lt;=0,0,_xlfn.NORM.INV(RAND(),0,$B$6))</f>
        <v>10.059675380025819</v>
      </c>
      <c r="E12" s="6">
        <f ca="1">(D12+$C$2+$D$2*$B$4)/$B$2</f>
        <v>5.967538002581918E-2</v>
      </c>
      <c r="F12" s="6">
        <f>$B$4</f>
        <v>0</v>
      </c>
      <c r="G12" s="6">
        <f>$C$4</f>
        <v>0</v>
      </c>
      <c r="H12" s="6">
        <f t="shared" ref="H12:H75" ca="1" si="1">G12+IF($C$6&lt;=0,0,_xlfn.NORM.INV(RAND(),0,$C$6))</f>
        <v>1.3510465708879423E-2</v>
      </c>
      <c r="I12" s="6">
        <f ca="1">$H$12</f>
        <v>1.3510465708879423E-2</v>
      </c>
      <c r="J12" s="6">
        <v>0</v>
      </c>
      <c r="K12" s="8">
        <f ca="1">I12+$B$8*(H12-I12)</f>
        <v>1.3510465708879423E-2</v>
      </c>
      <c r="L12" s="8">
        <f ca="1">J12+$C$8*(H12-I12)/$E$2</f>
        <v>0</v>
      </c>
      <c r="O12" s="2"/>
      <c r="P12" s="2"/>
      <c r="Q12" s="2"/>
      <c r="R12" s="2"/>
      <c r="S12" s="2"/>
    </row>
    <row r="13" spans="1:19" x14ac:dyDescent="0.4">
      <c r="A13" s="5">
        <v>1</v>
      </c>
      <c r="B13" s="4">
        <f>A13*$E$2</f>
        <v>0.1</v>
      </c>
      <c r="C13" s="4">
        <v>10</v>
      </c>
      <c r="D13" s="8">
        <f t="shared" ca="1" si="0"/>
        <v>9.9723363600216768</v>
      </c>
      <c r="E13" s="4">
        <f ca="1">(D13+$C$2+$D$2*F12)/$B$2</f>
        <v>-2.7663639978323218E-2</v>
      </c>
      <c r="F13" s="4">
        <f ca="1">F12+E13*$E$2</f>
        <v>-2.766363997832322E-3</v>
      </c>
      <c r="G13" s="4">
        <f ca="1">G12+F13*$E$2</f>
        <v>-2.7663639978323221E-4</v>
      </c>
      <c r="H13" s="8">
        <f t="shared" ca="1" si="1"/>
        <v>-1.1751106815656671E-2</v>
      </c>
      <c r="I13" s="4">
        <f ca="1">I12+L12*$E$2</f>
        <v>1.3510465708879423E-2</v>
      </c>
      <c r="J13" s="4">
        <f>(1+$D$2*$E$2/$B$2)*J12+$E$2*(C12+$C$2)/$B$2</f>
        <v>0</v>
      </c>
      <c r="K13" s="8">
        <f t="shared" ref="K13:K76" ca="1" si="2">I13+$B$8*(H13-I13)</f>
        <v>8.7967944661137588E-4</v>
      </c>
      <c r="L13" s="8">
        <f ca="1">J13+$C$8*(H13-I13)/$E$2</f>
        <v>-2.5261572524536095E-2</v>
      </c>
      <c r="O13" s="2"/>
      <c r="P13" s="2"/>
      <c r="Q13" s="2"/>
      <c r="R13" s="2"/>
      <c r="S13" s="2"/>
    </row>
    <row r="14" spans="1:19" x14ac:dyDescent="0.4">
      <c r="A14" s="5">
        <v>2</v>
      </c>
      <c r="B14" s="4">
        <f t="shared" ref="B14:B77" si="3">A14*$E$2</f>
        <v>0.2</v>
      </c>
      <c r="C14" s="4">
        <v>10</v>
      </c>
      <c r="D14" s="8">
        <f t="shared" ca="1" si="0"/>
        <v>9.8461674767929335</v>
      </c>
      <c r="E14" s="4">
        <f t="shared" ref="E14:E77" ca="1" si="4">(D14+$C$2+$D$2*F13)/$B$2</f>
        <v>-0.15106615920923422</v>
      </c>
      <c r="F14" s="4">
        <f t="shared" ref="F14:G29" ca="1" si="5">F13+E14*$E$2</f>
        <v>-1.7872979918755746E-2</v>
      </c>
      <c r="G14" s="4">
        <f t="shared" ca="1" si="5"/>
        <v>-2.0639343916588069E-3</v>
      </c>
      <c r="H14" s="8">
        <f t="shared" ca="1" si="1"/>
        <v>-1.0336618180763181E-2</v>
      </c>
      <c r="I14" s="4">
        <f t="shared" ref="I14:I77" ca="1" si="6">I13+L13*$E$2</f>
        <v>1.0984308456425814E-2</v>
      </c>
      <c r="J14" s="4">
        <f t="shared" ref="J14:J77" si="7">(1+$D$2*$E$2/$B$2)*J13+$E$2*(C13+$C$2)/$B$2</f>
        <v>0</v>
      </c>
      <c r="K14" s="8">
        <f t="shared" ca="1" si="2"/>
        <v>3.2384513783131723E-4</v>
      </c>
      <c r="L14" s="8">
        <f t="shared" ref="L14:L77" ca="1" si="8">J14+$C$8*(H14-I14)/$E$2</f>
        <v>-2.132092663718899E-2</v>
      </c>
      <c r="O14" s="2"/>
      <c r="P14" s="2"/>
      <c r="Q14" s="2"/>
      <c r="R14" s="2"/>
      <c r="S14" s="2"/>
    </row>
    <row r="15" spans="1:19" x14ac:dyDescent="0.4">
      <c r="A15" s="5">
        <v>3</v>
      </c>
      <c r="B15" s="4">
        <f t="shared" si="3"/>
        <v>0.30000000000000004</v>
      </c>
      <c r="C15" s="4">
        <v>10</v>
      </c>
      <c r="D15" s="8">
        <f t="shared" ca="1" si="0"/>
        <v>10.020101027301514</v>
      </c>
      <c r="E15" s="4">
        <f t="shared" ca="1" si="4"/>
        <v>3.7974007220270056E-2</v>
      </c>
      <c r="F15" s="4">
        <f t="shared" ca="1" si="5"/>
        <v>-1.407557919672874E-2</v>
      </c>
      <c r="G15" s="4">
        <f t="shared" ca="1" si="5"/>
        <v>-3.471492311331681E-3</v>
      </c>
      <c r="H15" s="8">
        <f t="shared" ca="1" si="1"/>
        <v>-5.5469612257892011E-3</v>
      </c>
      <c r="I15" s="4">
        <f t="shared" ca="1" si="6"/>
        <v>8.8522157927069141E-3</v>
      </c>
      <c r="J15" s="4">
        <f t="shared" si="7"/>
        <v>0</v>
      </c>
      <c r="K15" s="8">
        <f ca="1">I15+$B$8*(H15-I15)</f>
        <v>1.6526272834588565E-3</v>
      </c>
      <c r="L15" s="8">
        <f t="shared" ca="1" si="8"/>
        <v>-1.4399177018496115E-2</v>
      </c>
      <c r="O15" s="2"/>
      <c r="P15" s="2"/>
      <c r="Q15" s="2"/>
      <c r="R15" s="2"/>
      <c r="S15" s="2"/>
    </row>
    <row r="16" spans="1:19" x14ac:dyDescent="0.4">
      <c r="A16" s="5">
        <v>4</v>
      </c>
      <c r="B16" s="4">
        <f t="shared" si="3"/>
        <v>0.4</v>
      </c>
      <c r="C16" s="4">
        <v>10</v>
      </c>
      <c r="D16" s="8">
        <f t="shared" ca="1" si="0"/>
        <v>9.9867715153485399</v>
      </c>
      <c r="E16" s="4">
        <f t="shared" ca="1" si="4"/>
        <v>8.4709454526864757E-4</v>
      </c>
      <c r="F16" s="4">
        <f t="shared" ca="1" si="5"/>
        <v>-1.3990869742201876E-2</v>
      </c>
      <c r="G16" s="4">
        <f t="shared" ca="1" si="5"/>
        <v>-4.8705792855518685E-3</v>
      </c>
      <c r="H16" s="8">
        <f t="shared" ca="1" si="1"/>
        <v>4.8523371641174418E-3</v>
      </c>
      <c r="I16" s="4">
        <f t="shared" ca="1" si="6"/>
        <v>7.412298090857302E-3</v>
      </c>
      <c r="J16" s="4">
        <f t="shared" si="7"/>
        <v>0</v>
      </c>
      <c r="K16" s="8">
        <f t="shared" ca="1" si="2"/>
        <v>6.1323176274873719E-3</v>
      </c>
      <c r="L16" s="8">
        <f t="shared" ca="1" si="8"/>
        <v>-2.5599609267398602E-3</v>
      </c>
      <c r="O16" s="2"/>
      <c r="P16" s="2"/>
      <c r="Q16" s="2"/>
      <c r="R16" s="2"/>
      <c r="S16" s="2"/>
    </row>
    <row r="17" spans="1:19" x14ac:dyDescent="0.4">
      <c r="A17" s="5">
        <v>5</v>
      </c>
      <c r="B17" s="4">
        <f t="shared" si="3"/>
        <v>0.5</v>
      </c>
      <c r="C17" s="4">
        <v>10</v>
      </c>
      <c r="D17" s="8">
        <f t="shared" ca="1" si="0"/>
        <v>9.994867934195554</v>
      </c>
      <c r="E17" s="4">
        <f t="shared" ca="1" si="4"/>
        <v>8.8588039377558471E-3</v>
      </c>
      <c r="F17" s="4">
        <f t="shared" ca="1" si="5"/>
        <v>-1.310498934842629E-2</v>
      </c>
      <c r="G17" s="4">
        <f t="shared" ca="1" si="5"/>
        <v>-6.1810782203944974E-3</v>
      </c>
      <c r="H17" s="8">
        <f t="shared" ca="1" si="1"/>
        <v>3.4778832138170328E-4</v>
      </c>
      <c r="I17" s="4">
        <f t="shared" ca="1" si="6"/>
        <v>7.1563019981833158E-3</v>
      </c>
      <c r="J17" s="4">
        <f t="shared" si="7"/>
        <v>0</v>
      </c>
      <c r="K17" s="8">
        <f t="shared" ca="1" si="2"/>
        <v>3.7520451597825096E-3</v>
      </c>
      <c r="L17" s="8">
        <f t="shared" ca="1" si="8"/>
        <v>-6.8085136768016126E-3</v>
      </c>
      <c r="O17" s="2"/>
      <c r="P17" s="2"/>
      <c r="Q17" s="2"/>
      <c r="R17" s="2"/>
      <c r="S17" s="2"/>
    </row>
    <row r="18" spans="1:19" x14ac:dyDescent="0.4">
      <c r="A18" s="5">
        <v>6</v>
      </c>
      <c r="B18" s="4">
        <f t="shared" si="3"/>
        <v>0.60000000000000009</v>
      </c>
      <c r="C18" s="4">
        <v>10</v>
      </c>
      <c r="D18" s="8">
        <f t="shared" ca="1" si="0"/>
        <v>9.9904151763673887</v>
      </c>
      <c r="E18" s="4">
        <f t="shared" ca="1" si="4"/>
        <v>3.5201657158150292E-3</v>
      </c>
      <c r="F18" s="4">
        <f t="shared" ca="1" si="5"/>
        <v>-1.2752972776844788E-2</v>
      </c>
      <c r="G18" s="4">
        <f t="shared" ca="1" si="5"/>
        <v>-7.456375498078976E-3</v>
      </c>
      <c r="H18" s="8">
        <f t="shared" ca="1" si="1"/>
        <v>-1.2322649326722633E-2</v>
      </c>
      <c r="I18" s="4">
        <f t="shared" ca="1" si="6"/>
        <v>6.4754506305031547E-3</v>
      </c>
      <c r="J18" s="4">
        <f t="shared" si="7"/>
        <v>0</v>
      </c>
      <c r="K18" s="8">
        <f t="shared" ca="1" si="2"/>
        <v>-2.9235993481097388E-3</v>
      </c>
      <c r="L18" s="8">
        <f t="shared" ca="1" si="8"/>
        <v>-1.8798099957225787E-2</v>
      </c>
      <c r="O18" s="2"/>
    </row>
    <row r="19" spans="1:19" x14ac:dyDescent="0.4">
      <c r="A19" s="5">
        <v>7</v>
      </c>
      <c r="B19" s="4">
        <f t="shared" si="3"/>
        <v>0.70000000000000007</v>
      </c>
      <c r="C19" s="4">
        <v>10</v>
      </c>
      <c r="D19" s="8">
        <f t="shared" ca="1" si="0"/>
        <v>9.9727661066219202</v>
      </c>
      <c r="E19" s="4">
        <f t="shared" ca="1" si="4"/>
        <v>-1.4480920601235011E-2</v>
      </c>
      <c r="F19" s="4">
        <f t="shared" ca="1" si="5"/>
        <v>-1.4201064836968289E-2</v>
      </c>
      <c r="G19" s="4">
        <f t="shared" ca="1" si="5"/>
        <v>-8.8764819817758051E-3</v>
      </c>
      <c r="H19" s="8">
        <f t="shared" ca="1" si="1"/>
        <v>-8.0350701794001545E-3</v>
      </c>
      <c r="I19" s="4">
        <f t="shared" ca="1" si="6"/>
        <v>4.595640634780576E-3</v>
      </c>
      <c r="J19" s="4">
        <f t="shared" si="7"/>
        <v>0</v>
      </c>
      <c r="K19" s="8">
        <f t="shared" ca="1" si="2"/>
        <v>-1.7197147723097888E-3</v>
      </c>
      <c r="L19" s="8">
        <f t="shared" ca="1" si="8"/>
        <v>-1.263071081418073E-2</v>
      </c>
      <c r="O19" s="2"/>
    </row>
    <row r="20" spans="1:19" x14ac:dyDescent="0.4">
      <c r="A20" s="5">
        <v>8</v>
      </c>
      <c r="B20" s="4">
        <f t="shared" si="3"/>
        <v>0.8</v>
      </c>
      <c r="C20" s="4">
        <v>10</v>
      </c>
      <c r="D20" s="8">
        <f t="shared" ca="1" si="0"/>
        <v>9.8175958024208718</v>
      </c>
      <c r="E20" s="4">
        <f t="shared" ca="1" si="4"/>
        <v>-0.16820313274215989</v>
      </c>
      <c r="F20" s="4">
        <f t="shared" ca="1" si="5"/>
        <v>-3.1021378111184279E-2</v>
      </c>
      <c r="G20" s="4">
        <f t="shared" ca="1" si="5"/>
        <v>-1.1978619792894232E-2</v>
      </c>
      <c r="H20" s="8">
        <f t="shared" ca="1" si="1"/>
        <v>2.3308115506878203E-3</v>
      </c>
      <c r="I20" s="4">
        <f t="shared" ca="1" si="6"/>
        <v>3.332569553362503E-3</v>
      </c>
      <c r="J20" s="4">
        <f t="shared" si="7"/>
        <v>0</v>
      </c>
      <c r="K20" s="8">
        <f t="shared" ca="1" si="2"/>
        <v>2.8316905520251617E-3</v>
      </c>
      <c r="L20" s="8">
        <f t="shared" ca="1" si="8"/>
        <v>-1.0017580026746827E-3</v>
      </c>
      <c r="O20" s="2"/>
    </row>
    <row r="21" spans="1:19" x14ac:dyDescent="0.4">
      <c r="A21" s="5">
        <v>9</v>
      </c>
      <c r="B21" s="4">
        <f t="shared" si="3"/>
        <v>0.9</v>
      </c>
      <c r="C21" s="4">
        <v>10</v>
      </c>
      <c r="D21" s="8">
        <f t="shared" ca="1" si="0"/>
        <v>9.8758921474674075</v>
      </c>
      <c r="E21" s="4">
        <f t="shared" ca="1" si="4"/>
        <v>-9.3086474421408216E-2</v>
      </c>
      <c r="F21" s="4">
        <f t="shared" ca="1" si="5"/>
        <v>-4.03300255533251E-2</v>
      </c>
      <c r="G21" s="4">
        <f t="shared" ca="1" si="5"/>
        <v>-1.6011622348226742E-2</v>
      </c>
      <c r="H21" s="8">
        <f t="shared" ca="1" si="1"/>
        <v>-1.5525082592607067E-2</v>
      </c>
      <c r="I21" s="4">
        <f t="shared" ca="1" si="6"/>
        <v>3.2323937530950348E-3</v>
      </c>
      <c r="J21" s="4">
        <f t="shared" si="7"/>
        <v>0</v>
      </c>
      <c r="K21" s="8">
        <f t="shared" ca="1" si="2"/>
        <v>-6.1463444197560162E-3</v>
      </c>
      <c r="L21" s="8">
        <f t="shared" ca="1" si="8"/>
        <v>-1.8757476345702101E-2</v>
      </c>
      <c r="O21" s="2"/>
    </row>
    <row r="22" spans="1:19" x14ac:dyDescent="0.4">
      <c r="A22" s="5">
        <v>10</v>
      </c>
      <c r="B22" s="4">
        <f t="shared" si="3"/>
        <v>1</v>
      </c>
      <c r="C22" s="4">
        <v>10</v>
      </c>
      <c r="D22" s="8">
        <f t="shared" ca="1" si="0"/>
        <v>10.040981354419568</v>
      </c>
      <c r="E22" s="4">
        <f t="shared" ca="1" si="4"/>
        <v>8.131137997289295E-2</v>
      </c>
      <c r="F22" s="4">
        <f t="shared" ca="1" si="5"/>
        <v>-3.2198887556035803E-2</v>
      </c>
      <c r="G22" s="4">
        <f t="shared" ca="1" si="5"/>
        <v>-1.9231511103830323E-2</v>
      </c>
      <c r="H22" s="8">
        <f t="shared" ca="1" si="1"/>
        <v>-5.205051760896225E-3</v>
      </c>
      <c r="I22" s="4">
        <f t="shared" ca="1" si="6"/>
        <v>1.3566461185248245E-3</v>
      </c>
      <c r="J22" s="4">
        <f t="shared" si="7"/>
        <v>0</v>
      </c>
      <c r="K22" s="8">
        <f t="shared" ca="1" si="2"/>
        <v>-1.9242028211857005E-3</v>
      </c>
      <c r="L22" s="8">
        <f t="shared" ca="1" si="8"/>
        <v>-6.5616978794210508E-3</v>
      </c>
    </row>
    <row r="23" spans="1:19" x14ac:dyDescent="0.4">
      <c r="A23" s="5">
        <v>11</v>
      </c>
      <c r="B23" s="4">
        <f t="shared" si="3"/>
        <v>1.1000000000000001</v>
      </c>
      <c r="C23" s="4">
        <v>10</v>
      </c>
      <c r="D23" s="8">
        <f t="shared" ca="1" si="0"/>
        <v>10.088848292080945</v>
      </c>
      <c r="E23" s="4">
        <f t="shared" ca="1" si="4"/>
        <v>0.12104717963698061</v>
      </c>
      <c r="F23" s="4">
        <f t="shared" ca="1" si="5"/>
        <v>-2.0094169592337743E-2</v>
      </c>
      <c r="G23" s="4">
        <f t="shared" ca="1" si="5"/>
        <v>-2.1240928063064098E-2</v>
      </c>
      <c r="H23" s="8">
        <f t="shared" ca="1" si="1"/>
        <v>-2.0121432106690321E-2</v>
      </c>
      <c r="I23" s="4">
        <f t="shared" ca="1" si="6"/>
        <v>7.0047633058271941E-4</v>
      </c>
      <c r="J23" s="4">
        <f t="shared" si="7"/>
        <v>0</v>
      </c>
      <c r="K23" s="8">
        <f t="shared" ca="1" si="2"/>
        <v>-9.710477888053801E-3</v>
      </c>
      <c r="L23" s="8">
        <f t="shared" ca="1" si="8"/>
        <v>-2.0821908437273037E-2</v>
      </c>
    </row>
    <row r="24" spans="1:19" x14ac:dyDescent="0.4">
      <c r="A24" s="5">
        <v>12</v>
      </c>
      <c r="B24" s="4">
        <f t="shared" si="3"/>
        <v>1.2000000000000002</v>
      </c>
      <c r="C24" s="4">
        <v>10</v>
      </c>
      <c r="D24" s="8">
        <f t="shared" ca="1" si="0"/>
        <v>10.232412019359465</v>
      </c>
      <c r="E24" s="4">
        <f t="shared" ca="1" si="4"/>
        <v>0.25250618895180293</v>
      </c>
      <c r="F24" s="4">
        <f t="shared" ca="1" si="5"/>
        <v>5.1564493028425501E-3</v>
      </c>
      <c r="G24" s="4">
        <f t="shared" ca="1" si="5"/>
        <v>-2.0725283132779843E-2</v>
      </c>
      <c r="H24" s="8">
        <f t="shared" ca="1" si="1"/>
        <v>-1.1958176159738907E-2</v>
      </c>
      <c r="I24" s="4">
        <f t="shared" ca="1" si="6"/>
        <v>-1.3817145131445846E-3</v>
      </c>
      <c r="J24" s="4">
        <f t="shared" si="7"/>
        <v>0</v>
      </c>
      <c r="K24" s="8">
        <f t="shared" ca="1" si="2"/>
        <v>-6.669945336441746E-3</v>
      </c>
      <c r="L24" s="8">
        <f t="shared" ca="1" si="8"/>
        <v>-1.0576461646594322E-2</v>
      </c>
    </row>
    <row r="25" spans="1:19" x14ac:dyDescent="0.4">
      <c r="A25" s="5">
        <v>13</v>
      </c>
      <c r="B25" s="4">
        <f t="shared" si="3"/>
        <v>1.3</v>
      </c>
      <c r="C25" s="4">
        <v>10</v>
      </c>
      <c r="D25" s="8">
        <f t="shared" ca="1" si="0"/>
        <v>10.002312582341782</v>
      </c>
      <c r="E25" s="4">
        <f t="shared" ca="1" si="4"/>
        <v>-2.8438669610607731E-3</v>
      </c>
      <c r="F25" s="4">
        <f t="shared" ca="1" si="5"/>
        <v>4.8720626067364726E-3</v>
      </c>
      <c r="G25" s="4">
        <f t="shared" ca="1" si="5"/>
        <v>-2.0238076872106197E-2</v>
      </c>
      <c r="H25" s="8">
        <f t="shared" ca="1" si="1"/>
        <v>-2.5850669562960862E-2</v>
      </c>
      <c r="I25" s="4">
        <f t="shared" ca="1" si="6"/>
        <v>-2.4393606778040167E-3</v>
      </c>
      <c r="J25" s="4">
        <f t="shared" si="7"/>
        <v>0</v>
      </c>
      <c r="K25" s="8">
        <f t="shared" ca="1" si="2"/>
        <v>-1.414501512038244E-2</v>
      </c>
      <c r="L25" s="8">
        <f t="shared" ca="1" si="8"/>
        <v>-2.3411308885156842E-2</v>
      </c>
    </row>
    <row r="26" spans="1:19" x14ac:dyDescent="0.4">
      <c r="A26" s="5">
        <v>14</v>
      </c>
      <c r="B26" s="4">
        <f t="shared" si="3"/>
        <v>1.4000000000000001</v>
      </c>
      <c r="C26" s="4">
        <v>10</v>
      </c>
      <c r="D26" s="8">
        <f t="shared" ca="1" si="0"/>
        <v>9.9410570481954874</v>
      </c>
      <c r="E26" s="4">
        <f t="shared" ca="1" si="4"/>
        <v>-6.3815014411249066E-2</v>
      </c>
      <c r="F26" s="4">
        <f t="shared" ca="1" si="5"/>
        <v>-1.5094388343884343E-3</v>
      </c>
      <c r="G26" s="4">
        <f t="shared" ca="1" si="5"/>
        <v>-2.038902075554504E-2</v>
      </c>
      <c r="H26" s="8">
        <f t="shared" ca="1" si="1"/>
        <v>-2.0554893422709289E-2</v>
      </c>
      <c r="I26" s="4">
        <f t="shared" ca="1" si="6"/>
        <v>-4.7804915663197008E-3</v>
      </c>
      <c r="J26" s="4">
        <f t="shared" si="7"/>
        <v>0</v>
      </c>
      <c r="K26" s="8">
        <f t="shared" ca="1" si="2"/>
        <v>-1.2667692494514495E-2</v>
      </c>
      <c r="L26" s="8">
        <f t="shared" ca="1" si="8"/>
        <v>-1.5774401856389588E-2</v>
      </c>
    </row>
    <row r="27" spans="1:19" x14ac:dyDescent="0.4">
      <c r="A27" s="5">
        <v>15</v>
      </c>
      <c r="B27" s="4">
        <f t="shared" si="3"/>
        <v>1.5</v>
      </c>
      <c r="C27" s="4">
        <v>10</v>
      </c>
      <c r="D27" s="8">
        <f t="shared" ca="1" si="0"/>
        <v>10.081870810026333</v>
      </c>
      <c r="E27" s="4">
        <f t="shared" ca="1" si="4"/>
        <v>8.3380248860720999E-2</v>
      </c>
      <c r="F27" s="4">
        <f t="shared" ca="1" si="5"/>
        <v>6.8285860516836662E-3</v>
      </c>
      <c r="G27" s="4">
        <f t="shared" ca="1" si="5"/>
        <v>-1.9706162150376672E-2</v>
      </c>
      <c r="H27" s="8">
        <f t="shared" ca="1" si="1"/>
        <v>-1.3782842579591108E-2</v>
      </c>
      <c r="I27" s="4">
        <f t="shared" ca="1" si="6"/>
        <v>-6.3579317519586592E-3</v>
      </c>
      <c r="J27" s="4">
        <f t="shared" si="7"/>
        <v>0</v>
      </c>
      <c r="K27" s="8">
        <f t="shared" ca="1" si="2"/>
        <v>-1.0070387165774883E-2</v>
      </c>
      <c r="L27" s="8">
        <f t="shared" ca="1" si="8"/>
        <v>-7.4249108276324485E-3</v>
      </c>
    </row>
    <row r="28" spans="1:19" x14ac:dyDescent="0.4">
      <c r="A28" s="5">
        <v>16</v>
      </c>
      <c r="B28" s="4">
        <f t="shared" si="3"/>
        <v>1.6</v>
      </c>
      <c r="C28" s="4">
        <v>10</v>
      </c>
      <c r="D28" s="8">
        <f t="shared" ca="1" si="0"/>
        <v>9.9789656206743693</v>
      </c>
      <c r="E28" s="4">
        <f t="shared" ca="1" si="4"/>
        <v>-2.7862965377314346E-2</v>
      </c>
      <c r="F28" s="4">
        <f t="shared" ca="1" si="5"/>
        <v>4.0422895139522316E-3</v>
      </c>
      <c r="G28" s="4">
        <f t="shared" ca="1" si="5"/>
        <v>-1.930193319898145E-2</v>
      </c>
      <c r="H28" s="8">
        <f t="shared" ca="1" si="1"/>
        <v>-2.0042182322803942E-2</v>
      </c>
      <c r="I28" s="4">
        <f t="shared" ca="1" si="6"/>
        <v>-7.1004228347219039E-3</v>
      </c>
      <c r="J28" s="4">
        <f t="shared" si="7"/>
        <v>0</v>
      </c>
      <c r="K28" s="8">
        <f t="shared" ca="1" si="2"/>
        <v>-1.3571302578762923E-2</v>
      </c>
      <c r="L28" s="8">
        <f t="shared" ca="1" si="8"/>
        <v>-1.2941759488082037E-2</v>
      </c>
    </row>
    <row r="29" spans="1:19" x14ac:dyDescent="0.4">
      <c r="A29" s="5">
        <v>17</v>
      </c>
      <c r="B29" s="4">
        <f t="shared" si="3"/>
        <v>1.7000000000000002</v>
      </c>
      <c r="C29" s="4">
        <v>10</v>
      </c>
      <c r="D29" s="8">
        <f t="shared" ca="1" si="0"/>
        <v>9.9894446390561829</v>
      </c>
      <c r="E29" s="4">
        <f t="shared" ca="1" si="4"/>
        <v>-1.4597650457769382E-2</v>
      </c>
      <c r="F29" s="4">
        <f t="shared" ca="1" si="5"/>
        <v>2.5825244681752933E-3</v>
      </c>
      <c r="G29" s="4">
        <f t="shared" ca="1" si="5"/>
        <v>-1.9043680752163922E-2</v>
      </c>
      <c r="H29" s="8">
        <f t="shared" ca="1" si="1"/>
        <v>-2.5819050398855049E-2</v>
      </c>
      <c r="I29" s="4">
        <f t="shared" ca="1" si="6"/>
        <v>-8.3945987835301085E-3</v>
      </c>
      <c r="J29" s="4">
        <f t="shared" si="7"/>
        <v>0</v>
      </c>
      <c r="K29" s="8">
        <f t="shared" ca="1" si="2"/>
        <v>-1.7106824591192581E-2</v>
      </c>
      <c r="L29" s="8">
        <f t="shared" ca="1" si="8"/>
        <v>-1.7424451615324941E-2</v>
      </c>
    </row>
    <row r="30" spans="1:19" x14ac:dyDescent="0.4">
      <c r="A30" s="5">
        <v>18</v>
      </c>
      <c r="B30" s="4">
        <f t="shared" si="3"/>
        <v>1.8</v>
      </c>
      <c r="C30" s="4">
        <v>10</v>
      </c>
      <c r="D30" s="8">
        <f t="shared" ca="1" si="0"/>
        <v>9.9684363814832349</v>
      </c>
      <c r="E30" s="4">
        <f t="shared" ca="1" si="4"/>
        <v>-3.4146142984940439E-2</v>
      </c>
      <c r="F30" s="4">
        <f t="shared" ref="F30:G45" ca="1" si="9">F29+E30*$E$2</f>
        <v>-8.3208983031875065E-4</v>
      </c>
      <c r="G30" s="4">
        <f t="shared" ca="1" si="9"/>
        <v>-1.9126889735195798E-2</v>
      </c>
      <c r="H30" s="8">
        <f t="shared" ca="1" si="1"/>
        <v>-2.7749563100210584E-2</v>
      </c>
      <c r="I30" s="4">
        <f t="shared" ca="1" si="6"/>
        <v>-1.0137043945062603E-2</v>
      </c>
      <c r="J30" s="4">
        <f t="shared" si="7"/>
        <v>0</v>
      </c>
      <c r="K30" s="8">
        <f t="shared" ca="1" si="2"/>
        <v>-1.8943303522636595E-2</v>
      </c>
      <c r="L30" s="8">
        <f t="shared" ca="1" si="8"/>
        <v>-1.7612519155147981E-2</v>
      </c>
    </row>
    <row r="31" spans="1:19" x14ac:dyDescent="0.4">
      <c r="A31" s="5">
        <v>19</v>
      </c>
      <c r="B31" s="4">
        <f t="shared" si="3"/>
        <v>1.9000000000000001</v>
      </c>
      <c r="C31" s="4">
        <v>10</v>
      </c>
      <c r="D31" s="8">
        <f t="shared" ca="1" si="0"/>
        <v>9.8936737774989325</v>
      </c>
      <c r="E31" s="4">
        <f t="shared" ca="1" si="4"/>
        <v>-0.10549413267074874</v>
      </c>
      <c r="F31" s="4">
        <f t="shared" ca="1" si="9"/>
        <v>-1.1381503097393626E-2</v>
      </c>
      <c r="G31" s="4">
        <f t="shared" ca="1" si="9"/>
        <v>-2.0265040044935161E-2</v>
      </c>
      <c r="H31" s="8">
        <f t="shared" ca="1" si="1"/>
        <v>-2.1300198770050432E-2</v>
      </c>
      <c r="I31" s="4">
        <f t="shared" ca="1" si="6"/>
        <v>-1.1898295860577401E-2</v>
      </c>
      <c r="J31" s="4">
        <f t="shared" si="7"/>
        <v>0</v>
      </c>
      <c r="K31" s="8">
        <f t="shared" ca="1" si="2"/>
        <v>-1.6599247315313918E-2</v>
      </c>
      <c r="L31" s="8">
        <f t="shared" ca="1" si="8"/>
        <v>-9.4019029094730318E-3</v>
      </c>
    </row>
    <row r="32" spans="1:19" x14ac:dyDescent="0.4">
      <c r="A32" s="5">
        <v>20</v>
      </c>
      <c r="B32" s="4">
        <f t="shared" si="3"/>
        <v>2</v>
      </c>
      <c r="C32" s="4">
        <v>10</v>
      </c>
      <c r="D32" s="8">
        <f t="shared" ca="1" si="0"/>
        <v>9.916978907678919</v>
      </c>
      <c r="E32" s="4">
        <f t="shared" ca="1" si="4"/>
        <v>-7.1639589223687392E-2</v>
      </c>
      <c r="F32" s="4">
        <f t="shared" ca="1" si="9"/>
        <v>-1.8545462019762364E-2</v>
      </c>
      <c r="G32" s="4">
        <f t="shared" ca="1" si="9"/>
        <v>-2.2119586246911398E-2</v>
      </c>
      <c r="H32" s="8">
        <f t="shared" ca="1" si="1"/>
        <v>-1.127340535459935E-2</v>
      </c>
      <c r="I32" s="4">
        <f t="shared" ca="1" si="6"/>
        <v>-1.2838486151524704E-2</v>
      </c>
      <c r="J32" s="4">
        <f t="shared" si="7"/>
        <v>0</v>
      </c>
      <c r="K32" s="8">
        <f t="shared" ca="1" si="2"/>
        <v>-1.2055945753062028E-2</v>
      </c>
      <c r="L32" s="8">
        <f t="shared" ca="1" si="8"/>
        <v>1.5650807969253538E-3</v>
      </c>
    </row>
    <row r="33" spans="1:12" x14ac:dyDescent="0.4">
      <c r="A33" s="5">
        <v>21</v>
      </c>
      <c r="B33" s="4">
        <f t="shared" si="3"/>
        <v>2.1</v>
      </c>
      <c r="C33" s="4">
        <v>10</v>
      </c>
      <c r="D33" s="8">
        <f t="shared" ca="1" si="0"/>
        <v>9.977258448798338</v>
      </c>
      <c r="E33" s="4">
        <f t="shared" ca="1" si="4"/>
        <v>-4.1960891818996274E-3</v>
      </c>
      <c r="F33" s="4">
        <f t="shared" ca="1" si="9"/>
        <v>-1.8965070937952327E-2</v>
      </c>
      <c r="G33" s="4">
        <f t="shared" ca="1" si="9"/>
        <v>-2.4016093340706632E-2</v>
      </c>
      <c r="H33" s="8">
        <f t="shared" ca="1" si="1"/>
        <v>-2.4748964921289699E-2</v>
      </c>
      <c r="I33" s="4">
        <f t="shared" ca="1" si="6"/>
        <v>-1.2681978071832169E-2</v>
      </c>
      <c r="J33" s="4">
        <f t="shared" si="7"/>
        <v>0</v>
      </c>
      <c r="K33" s="8">
        <f t="shared" ca="1" si="2"/>
        <v>-1.8715471496560936E-2</v>
      </c>
      <c r="L33" s="8">
        <f t="shared" ca="1" si="8"/>
        <v>-1.206698684945753E-2</v>
      </c>
    </row>
    <row r="34" spans="1:12" x14ac:dyDescent="0.4">
      <c r="A34" s="5">
        <v>22</v>
      </c>
      <c r="B34" s="4">
        <f t="shared" si="3"/>
        <v>2.2000000000000002</v>
      </c>
      <c r="C34" s="4">
        <v>10</v>
      </c>
      <c r="D34" s="8">
        <f t="shared" ca="1" si="0"/>
        <v>10.131319159962901</v>
      </c>
      <c r="E34" s="4">
        <f t="shared" ca="1" si="4"/>
        <v>0.15028423090085344</v>
      </c>
      <c r="F34" s="4">
        <f t="shared" ca="1" si="9"/>
        <v>-3.9366478478669829E-3</v>
      </c>
      <c r="G34" s="4">
        <f t="shared" ca="1" si="9"/>
        <v>-2.4409758125493331E-2</v>
      </c>
      <c r="H34" s="8">
        <f t="shared" ca="1" si="1"/>
        <v>-2.8009969915506739E-2</v>
      </c>
      <c r="I34" s="4">
        <f t="shared" ca="1" si="6"/>
        <v>-1.3888676756777922E-2</v>
      </c>
      <c r="J34" s="4">
        <f t="shared" si="7"/>
        <v>0</v>
      </c>
      <c r="K34" s="8">
        <f t="shared" ca="1" si="2"/>
        <v>-2.0949323336142332E-2</v>
      </c>
      <c r="L34" s="8">
        <f t="shared" ca="1" si="8"/>
        <v>-1.4121293158728817E-2</v>
      </c>
    </row>
    <row r="35" spans="1:12" x14ac:dyDescent="0.4">
      <c r="A35" s="5">
        <v>23</v>
      </c>
      <c r="B35" s="4">
        <f t="shared" si="3"/>
        <v>2.3000000000000003</v>
      </c>
      <c r="C35" s="4">
        <v>10</v>
      </c>
      <c r="D35" s="8">
        <f t="shared" ca="1" si="0"/>
        <v>10.056866676160984</v>
      </c>
      <c r="E35" s="4">
        <f t="shared" ca="1" si="4"/>
        <v>6.0803324008851384E-2</v>
      </c>
      <c r="F35" s="4">
        <f t="shared" ca="1" si="9"/>
        <v>2.1436845530181554E-3</v>
      </c>
      <c r="G35" s="4">
        <f t="shared" ca="1" si="9"/>
        <v>-2.4195389670191515E-2</v>
      </c>
      <c r="H35" s="8">
        <f t="shared" ca="1" si="1"/>
        <v>-2.2940074128517864E-2</v>
      </c>
      <c r="I35" s="4">
        <f t="shared" ca="1" si="6"/>
        <v>-1.5300806072650804E-2</v>
      </c>
      <c r="J35" s="4">
        <f t="shared" si="7"/>
        <v>0</v>
      </c>
      <c r="K35" s="8">
        <f t="shared" ca="1" si="2"/>
        <v>-1.9120440100584335E-2</v>
      </c>
      <c r="L35" s="8">
        <f t="shared" ca="1" si="8"/>
        <v>-7.6392680558670613E-3</v>
      </c>
    </row>
    <row r="36" spans="1:12" x14ac:dyDescent="0.4">
      <c r="A36" s="5">
        <v>24</v>
      </c>
      <c r="B36" s="4">
        <f t="shared" si="3"/>
        <v>2.4000000000000004</v>
      </c>
      <c r="C36" s="4">
        <v>10</v>
      </c>
      <c r="D36" s="8">
        <f t="shared" ca="1" si="0"/>
        <v>10.148425192595656</v>
      </c>
      <c r="E36" s="4">
        <f t="shared" ca="1" si="4"/>
        <v>0.14628150804263818</v>
      </c>
      <c r="F36" s="4">
        <f t="shared" ca="1" si="9"/>
        <v>1.6771835357281974E-2</v>
      </c>
      <c r="G36" s="4">
        <f t="shared" ca="1" si="9"/>
        <v>-2.2518206134463318E-2</v>
      </c>
      <c r="H36" s="8">
        <f t="shared" ca="1" si="1"/>
        <v>-2.148472966484653E-2</v>
      </c>
      <c r="I36" s="4">
        <f t="shared" ca="1" si="6"/>
        <v>-1.6064732878237509E-2</v>
      </c>
      <c r="J36" s="4">
        <f t="shared" si="7"/>
        <v>0</v>
      </c>
      <c r="K36" s="8">
        <f t="shared" ca="1" si="2"/>
        <v>-1.8774731271542021E-2</v>
      </c>
      <c r="L36" s="8">
        <f t="shared" ca="1" si="8"/>
        <v>-5.4199967866090208E-3</v>
      </c>
    </row>
    <row r="37" spans="1:12" x14ac:dyDescent="0.4">
      <c r="A37" s="5">
        <v>25</v>
      </c>
      <c r="B37" s="4">
        <f t="shared" si="3"/>
        <v>2.5</v>
      </c>
      <c r="C37" s="4">
        <v>12</v>
      </c>
      <c r="D37" s="8">
        <f t="shared" ca="1" si="0"/>
        <v>12.019618824191538</v>
      </c>
      <c r="E37" s="4">
        <f t="shared" ca="1" si="4"/>
        <v>2.0028469888342557</v>
      </c>
      <c r="F37" s="4">
        <f t="shared" ca="1" si="9"/>
        <v>0.21705653424070756</v>
      </c>
      <c r="G37" s="4">
        <f t="shared" ca="1" si="9"/>
        <v>-8.1255271039256186E-4</v>
      </c>
      <c r="H37" s="8">
        <f t="shared" ca="1" si="1"/>
        <v>3.1129270029714136E-3</v>
      </c>
      <c r="I37" s="4">
        <f t="shared" ca="1" si="6"/>
        <v>-1.6606732556898412E-2</v>
      </c>
      <c r="J37" s="4">
        <f t="shared" si="7"/>
        <v>0</v>
      </c>
      <c r="K37" s="8">
        <f t="shared" ca="1" si="2"/>
        <v>-6.7469027769634995E-3</v>
      </c>
      <c r="L37" s="8">
        <f t="shared" ca="1" si="8"/>
        <v>1.9719659559869825E-2</v>
      </c>
    </row>
    <row r="38" spans="1:12" x14ac:dyDescent="0.4">
      <c r="A38" s="5">
        <v>26</v>
      </c>
      <c r="B38" s="4">
        <f t="shared" si="3"/>
        <v>2.6</v>
      </c>
      <c r="C38" s="4">
        <v>12</v>
      </c>
      <c r="D38" s="8">
        <f t="shared" ca="1" si="0"/>
        <v>12.155146552520595</v>
      </c>
      <c r="E38" s="4">
        <f t="shared" ca="1" si="4"/>
        <v>1.9380900182798872</v>
      </c>
      <c r="F38" s="4">
        <f t="shared" ca="1" si="9"/>
        <v>0.4108655360686963</v>
      </c>
      <c r="G38" s="4">
        <f t="shared" ca="1" si="9"/>
        <v>4.0274000896477077E-2</v>
      </c>
      <c r="H38" s="8">
        <f t="shared" ca="1" si="1"/>
        <v>4.3014316234495351E-2</v>
      </c>
      <c r="I38" s="4">
        <f t="shared" ca="1" si="6"/>
        <v>-1.4634766600911429E-2</v>
      </c>
      <c r="J38" s="4">
        <f t="shared" si="7"/>
        <v>0.2</v>
      </c>
      <c r="K38" s="8">
        <f t="shared" ca="1" si="2"/>
        <v>1.4189774816791959E-2</v>
      </c>
      <c r="L38" s="8">
        <f t="shared" ca="1" si="8"/>
        <v>0.25764908283540677</v>
      </c>
    </row>
    <row r="39" spans="1:12" x14ac:dyDescent="0.4">
      <c r="A39" s="5">
        <v>27</v>
      </c>
      <c r="B39" s="4">
        <f t="shared" si="3"/>
        <v>2.7</v>
      </c>
      <c r="C39" s="4">
        <v>12</v>
      </c>
      <c r="D39" s="8">
        <f t="shared" ca="1" si="0"/>
        <v>11.975947297714484</v>
      </c>
      <c r="E39" s="4">
        <f t="shared" ca="1" si="4"/>
        <v>1.5650817616457875</v>
      </c>
      <c r="F39" s="4">
        <f t="shared" ca="1" si="9"/>
        <v>0.56737371223327504</v>
      </c>
      <c r="G39" s="4">
        <f t="shared" ca="1" si="9"/>
        <v>9.7011372119804581E-2</v>
      </c>
      <c r="H39" s="8">
        <f t="shared" ca="1" si="1"/>
        <v>9.3026617501712303E-2</v>
      </c>
      <c r="I39" s="4">
        <f t="shared" ca="1" si="6"/>
        <v>1.1130141682629251E-2</v>
      </c>
      <c r="J39" s="4">
        <f t="shared" si="7"/>
        <v>0.38</v>
      </c>
      <c r="K39" s="8">
        <f t="shared" ca="1" si="2"/>
        <v>5.2078379592170779E-2</v>
      </c>
      <c r="L39" s="8">
        <f t="shared" ca="1" si="8"/>
        <v>0.46189647581908305</v>
      </c>
    </row>
    <row r="40" spans="1:12" x14ac:dyDescent="0.4">
      <c r="A40" s="5">
        <v>28</v>
      </c>
      <c r="B40" s="4">
        <f t="shared" si="3"/>
        <v>2.8000000000000003</v>
      </c>
      <c r="C40" s="4">
        <v>12</v>
      </c>
      <c r="D40" s="8">
        <f t="shared" ca="1" si="0"/>
        <v>12.144021858819174</v>
      </c>
      <c r="E40" s="4">
        <f t="shared" ca="1" si="4"/>
        <v>1.5766481465858995</v>
      </c>
      <c r="F40" s="4">
        <f t="shared" ca="1" si="9"/>
        <v>0.72503852689186499</v>
      </c>
      <c r="G40" s="4">
        <f t="shared" ca="1" si="9"/>
        <v>0.16951522480899109</v>
      </c>
      <c r="H40" s="8">
        <f t="shared" ca="1" si="1"/>
        <v>0.16718922407250456</v>
      </c>
      <c r="I40" s="4">
        <f t="shared" ca="1" si="6"/>
        <v>5.7319789264537555E-2</v>
      </c>
      <c r="J40" s="4">
        <f t="shared" si="7"/>
        <v>0.54200000000000004</v>
      </c>
      <c r="K40" s="8">
        <f t="shared" ca="1" si="2"/>
        <v>0.11225450666852105</v>
      </c>
      <c r="L40" s="8">
        <f t="shared" ca="1" si="8"/>
        <v>0.651869434807967</v>
      </c>
    </row>
    <row r="41" spans="1:12" x14ac:dyDescent="0.4">
      <c r="A41" s="5">
        <v>29</v>
      </c>
      <c r="B41" s="4">
        <f t="shared" si="3"/>
        <v>2.9000000000000004</v>
      </c>
      <c r="C41" s="4">
        <v>12</v>
      </c>
      <c r="D41" s="8">
        <f t="shared" ca="1" si="0"/>
        <v>11.882909554736967</v>
      </c>
      <c r="E41" s="4">
        <f t="shared" ca="1" si="4"/>
        <v>1.1578710278451023</v>
      </c>
      <c r="F41" s="4">
        <f t="shared" ca="1" si="9"/>
        <v>0.8408256296763752</v>
      </c>
      <c r="G41" s="4">
        <f t="shared" ca="1" si="9"/>
        <v>0.25359778777662861</v>
      </c>
      <c r="H41" s="8">
        <f t="shared" ca="1" si="1"/>
        <v>0.25513367125184705</v>
      </c>
      <c r="I41" s="4">
        <f t="shared" ca="1" si="6"/>
        <v>0.12250673274533426</v>
      </c>
      <c r="J41" s="4">
        <f t="shared" si="7"/>
        <v>0.68780000000000008</v>
      </c>
      <c r="K41" s="8">
        <f t="shared" ca="1" si="2"/>
        <v>0.18882020199859068</v>
      </c>
      <c r="L41" s="8">
        <f t="shared" ca="1" si="8"/>
        <v>0.82042693850651283</v>
      </c>
    </row>
    <row r="42" spans="1:12" x14ac:dyDescent="0.4">
      <c r="A42" s="5">
        <v>30</v>
      </c>
      <c r="B42" s="4">
        <f t="shared" si="3"/>
        <v>3</v>
      </c>
      <c r="C42" s="4">
        <v>12</v>
      </c>
      <c r="D42" s="8">
        <f t="shared" ca="1" si="0"/>
        <v>12.045982604284383</v>
      </c>
      <c r="E42" s="4">
        <f t="shared" ca="1" si="4"/>
        <v>1.2051569746080077</v>
      </c>
      <c r="F42" s="4">
        <f t="shared" ca="1" si="9"/>
        <v>0.96134132713717602</v>
      </c>
      <c r="G42" s="4">
        <f t="shared" ca="1" si="9"/>
        <v>0.34973192049034624</v>
      </c>
      <c r="H42" s="8">
        <f t="shared" ca="1" si="1"/>
        <v>0.35533472203025468</v>
      </c>
      <c r="I42" s="4">
        <f t="shared" ca="1" si="6"/>
        <v>0.20454942659598555</v>
      </c>
      <c r="J42" s="4">
        <f t="shared" si="7"/>
        <v>0.81902000000000008</v>
      </c>
      <c r="K42" s="8">
        <f t="shared" ca="1" si="2"/>
        <v>0.27994207431312013</v>
      </c>
      <c r="L42" s="8">
        <f t="shared" ca="1" si="8"/>
        <v>0.96980529543426919</v>
      </c>
    </row>
    <row r="43" spans="1:12" x14ac:dyDescent="0.4">
      <c r="A43" s="5">
        <v>31</v>
      </c>
      <c r="B43" s="4">
        <f t="shared" si="3"/>
        <v>3.1</v>
      </c>
      <c r="C43" s="4">
        <v>12</v>
      </c>
      <c r="D43" s="8">
        <f t="shared" ca="1" si="0"/>
        <v>12.086289731832888</v>
      </c>
      <c r="E43" s="4">
        <f t="shared" ca="1" si="4"/>
        <v>1.1249484046957123</v>
      </c>
      <c r="F43" s="4">
        <f t="shared" ca="1" si="9"/>
        <v>1.0738361676067472</v>
      </c>
      <c r="G43" s="4">
        <f t="shared" ca="1" si="9"/>
        <v>0.45711553725102094</v>
      </c>
      <c r="H43" s="8">
        <f t="shared" ca="1" si="1"/>
        <v>0.45896129791162649</v>
      </c>
      <c r="I43" s="4">
        <f t="shared" ca="1" si="6"/>
        <v>0.30152995613941247</v>
      </c>
      <c r="J43" s="4">
        <f t="shared" si="7"/>
        <v>0.93711800000000012</v>
      </c>
      <c r="K43" s="8">
        <f t="shared" ca="1" si="2"/>
        <v>0.38024562702551945</v>
      </c>
      <c r="L43" s="8">
        <f t="shared" ca="1" si="8"/>
        <v>1.0945493417722141</v>
      </c>
    </row>
    <row r="44" spans="1:12" x14ac:dyDescent="0.4">
      <c r="A44" s="5">
        <v>32</v>
      </c>
      <c r="B44" s="4">
        <f t="shared" si="3"/>
        <v>3.2</v>
      </c>
      <c r="C44" s="4">
        <v>12</v>
      </c>
      <c r="D44" s="8">
        <f t="shared" ca="1" si="0"/>
        <v>11.991587189086927</v>
      </c>
      <c r="E44" s="4">
        <f t="shared" ca="1" si="4"/>
        <v>0.9177510214801794</v>
      </c>
      <c r="F44" s="4">
        <f t="shared" ca="1" si="9"/>
        <v>1.1656112697547651</v>
      </c>
      <c r="G44" s="4">
        <f t="shared" ca="1" si="9"/>
        <v>0.57367666422649743</v>
      </c>
      <c r="H44" s="8">
        <f t="shared" ca="1" si="1"/>
        <v>0.56159799202110428</v>
      </c>
      <c r="I44" s="4">
        <f t="shared" ca="1" si="6"/>
        <v>0.41098489031663388</v>
      </c>
      <c r="J44" s="4">
        <f t="shared" si="7"/>
        <v>1.0434062000000002</v>
      </c>
      <c r="K44" s="8">
        <f t="shared" ca="1" si="2"/>
        <v>0.48629144116886908</v>
      </c>
      <c r="L44" s="8">
        <f t="shared" ca="1" si="8"/>
        <v>1.1940193017044707</v>
      </c>
    </row>
    <row r="45" spans="1:12" x14ac:dyDescent="0.4">
      <c r="A45" s="5">
        <v>33</v>
      </c>
      <c r="B45" s="4">
        <f t="shared" si="3"/>
        <v>3.3000000000000003</v>
      </c>
      <c r="C45" s="4">
        <v>12</v>
      </c>
      <c r="D45" s="8">
        <f t="shared" ca="1" si="0"/>
        <v>12.099462493969311</v>
      </c>
      <c r="E45" s="4">
        <f t="shared" ca="1" si="4"/>
        <v>0.93385122421454558</v>
      </c>
      <c r="F45" s="4">
        <f t="shared" ca="1" si="9"/>
        <v>1.2589963921762197</v>
      </c>
      <c r="G45" s="4">
        <f t="shared" ca="1" si="9"/>
        <v>0.69957630344411936</v>
      </c>
      <c r="H45" s="8">
        <f t="shared" ca="1" si="1"/>
        <v>0.69636934439806653</v>
      </c>
      <c r="I45" s="4">
        <f t="shared" ca="1" si="6"/>
        <v>0.53038682048708097</v>
      </c>
      <c r="J45" s="4">
        <f t="shared" si="7"/>
        <v>1.1390655800000002</v>
      </c>
      <c r="K45" s="8">
        <f t="shared" ca="1" si="2"/>
        <v>0.61337808244257375</v>
      </c>
      <c r="L45" s="8">
        <f t="shared" ca="1" si="8"/>
        <v>1.3050481039109858</v>
      </c>
    </row>
    <row r="46" spans="1:12" x14ac:dyDescent="0.4">
      <c r="A46" s="5">
        <v>34</v>
      </c>
      <c r="B46" s="4">
        <f t="shared" si="3"/>
        <v>3.4000000000000004</v>
      </c>
      <c r="C46" s="4">
        <v>12</v>
      </c>
      <c r="D46" s="8">
        <f t="shared" ca="1" si="0"/>
        <v>11.884374337034787</v>
      </c>
      <c r="E46" s="4">
        <f t="shared" ca="1" si="4"/>
        <v>0.62537794485856724</v>
      </c>
      <c r="F46" s="4">
        <f t="shared" ref="F46:G61" ca="1" si="10">F45+E46*$E$2</f>
        <v>1.3215341866620764</v>
      </c>
      <c r="G46" s="4">
        <f t="shared" ca="1" si="10"/>
        <v>0.83172972211032703</v>
      </c>
      <c r="H46" s="8">
        <f t="shared" ca="1" si="1"/>
        <v>0.84546436648125811</v>
      </c>
      <c r="I46" s="4">
        <f t="shared" ca="1" si="6"/>
        <v>0.66089163087817959</v>
      </c>
      <c r="J46" s="4">
        <f t="shared" si="7"/>
        <v>1.2251590220000002</v>
      </c>
      <c r="K46" s="8">
        <f t="shared" ca="1" si="2"/>
        <v>0.75317799867971891</v>
      </c>
      <c r="L46" s="8">
        <f t="shared" ca="1" si="8"/>
        <v>1.4097317576030788</v>
      </c>
    </row>
    <row r="47" spans="1:12" x14ac:dyDescent="0.4">
      <c r="A47" s="5">
        <v>35</v>
      </c>
      <c r="B47" s="4">
        <f t="shared" si="3"/>
        <v>3.5</v>
      </c>
      <c r="C47" s="4">
        <v>12</v>
      </c>
      <c r="D47" s="8">
        <f t="shared" ca="1" si="0"/>
        <v>12.120546309495534</v>
      </c>
      <c r="E47" s="4">
        <f t="shared" ca="1" si="4"/>
        <v>0.79901212283345768</v>
      </c>
      <c r="F47" s="4">
        <f t="shared" ca="1" si="10"/>
        <v>1.4014353989454222</v>
      </c>
      <c r="G47" s="4">
        <f t="shared" ca="1" si="10"/>
        <v>0.97187326200486923</v>
      </c>
      <c r="H47" s="8">
        <f t="shared" ca="1" si="1"/>
        <v>0.97351284688519479</v>
      </c>
      <c r="I47" s="4">
        <f t="shared" ca="1" si="6"/>
        <v>0.80186480663848747</v>
      </c>
      <c r="J47" s="4">
        <f t="shared" si="7"/>
        <v>1.3026431198000001</v>
      </c>
      <c r="K47" s="8">
        <f t="shared" ca="1" si="2"/>
        <v>0.88768882676184113</v>
      </c>
      <c r="L47" s="8">
        <f t="shared" ca="1" si="8"/>
        <v>1.4742911600467075</v>
      </c>
    </row>
    <row r="48" spans="1:12" x14ac:dyDescent="0.4">
      <c r="A48" s="5">
        <v>36</v>
      </c>
      <c r="B48" s="4">
        <f t="shared" si="3"/>
        <v>3.6</v>
      </c>
      <c r="C48" s="4">
        <v>12</v>
      </c>
      <c r="D48" s="8">
        <f t="shared" ca="1" si="0"/>
        <v>12.055645567221399</v>
      </c>
      <c r="E48" s="4">
        <f t="shared" ca="1" si="4"/>
        <v>0.65421016827597667</v>
      </c>
      <c r="F48" s="4">
        <f t="shared" ca="1" si="10"/>
        <v>1.46685641577302</v>
      </c>
      <c r="G48" s="4">
        <f t="shared" ca="1" si="10"/>
        <v>1.1185589035821712</v>
      </c>
      <c r="H48" s="8">
        <f t="shared" ca="1" si="1"/>
        <v>1.1171125209695785</v>
      </c>
      <c r="I48" s="4">
        <f t="shared" ca="1" si="6"/>
        <v>0.94929392264315826</v>
      </c>
      <c r="J48" s="4">
        <f t="shared" si="7"/>
        <v>1.3723788078200001</v>
      </c>
      <c r="K48" s="8">
        <f t="shared" ca="1" si="2"/>
        <v>1.0332032218063683</v>
      </c>
      <c r="L48" s="8">
        <f t="shared" ca="1" si="8"/>
        <v>1.5401974061464203</v>
      </c>
    </row>
    <row r="49" spans="1:12" x14ac:dyDescent="0.4">
      <c r="A49" s="5">
        <v>37</v>
      </c>
      <c r="B49" s="4">
        <f t="shared" si="3"/>
        <v>3.7</v>
      </c>
      <c r="C49" s="4">
        <v>12</v>
      </c>
      <c r="D49" s="8">
        <f t="shared" ca="1" si="0"/>
        <v>12.092129062989844</v>
      </c>
      <c r="E49" s="4">
        <f t="shared" ca="1" si="4"/>
        <v>0.62527264721682441</v>
      </c>
      <c r="F49" s="4">
        <f t="shared" ca="1" si="10"/>
        <v>1.5293836804947023</v>
      </c>
      <c r="G49" s="4">
        <f t="shared" ca="1" si="10"/>
        <v>1.2714972716316415</v>
      </c>
      <c r="H49" s="8">
        <f t="shared" ca="1" si="1"/>
        <v>1.2556147504344255</v>
      </c>
      <c r="I49" s="4">
        <f t="shared" ca="1" si="6"/>
        <v>1.1033136632578002</v>
      </c>
      <c r="J49" s="4">
        <f t="shared" si="7"/>
        <v>1.435140927038</v>
      </c>
      <c r="K49" s="8">
        <f t="shared" ca="1" si="2"/>
        <v>1.179464206846113</v>
      </c>
      <c r="L49" s="8">
        <f t="shared" ca="1" si="8"/>
        <v>1.5874420142146253</v>
      </c>
    </row>
    <row r="50" spans="1:12" x14ac:dyDescent="0.4">
      <c r="A50" s="5">
        <v>38</v>
      </c>
      <c r="B50" s="4">
        <f t="shared" si="3"/>
        <v>3.8000000000000003</v>
      </c>
      <c r="C50" s="4">
        <v>12</v>
      </c>
      <c r="D50" s="8">
        <f t="shared" ca="1" si="0"/>
        <v>12.091313972288683</v>
      </c>
      <c r="E50" s="4">
        <f t="shared" ca="1" si="4"/>
        <v>0.56193029179398057</v>
      </c>
      <c r="F50" s="4">
        <f t="shared" ca="1" si="10"/>
        <v>1.5855767096741005</v>
      </c>
      <c r="G50" s="4">
        <f t="shared" ca="1" si="10"/>
        <v>1.4300549425990516</v>
      </c>
      <c r="H50" s="8">
        <f t="shared" ca="1" si="1"/>
        <v>1.4171172514172756</v>
      </c>
      <c r="I50" s="4">
        <f t="shared" ca="1" si="6"/>
        <v>1.2620578646792628</v>
      </c>
      <c r="J50" s="4">
        <f t="shared" si="7"/>
        <v>1.4916268343342001</v>
      </c>
      <c r="K50" s="8">
        <f t="shared" ca="1" si="2"/>
        <v>1.3395875580482692</v>
      </c>
      <c r="L50" s="8">
        <f t="shared" ca="1" si="8"/>
        <v>1.6466862210722129</v>
      </c>
    </row>
    <row r="51" spans="1:12" x14ac:dyDescent="0.4">
      <c r="A51" s="5">
        <v>39</v>
      </c>
      <c r="B51" s="4">
        <f t="shared" si="3"/>
        <v>3.9000000000000004</v>
      </c>
      <c r="C51" s="4">
        <v>12</v>
      </c>
      <c r="D51" s="8">
        <f t="shared" ca="1" si="0"/>
        <v>11.772896476458667</v>
      </c>
      <c r="E51" s="4">
        <f t="shared" ca="1" si="4"/>
        <v>0.18731976678456697</v>
      </c>
      <c r="F51" s="4">
        <f t="shared" ca="1" si="10"/>
        <v>1.6043086863525571</v>
      </c>
      <c r="G51" s="4">
        <f t="shared" ca="1" si="10"/>
        <v>1.5904858112343074</v>
      </c>
      <c r="H51" s="8">
        <f t="shared" ca="1" si="1"/>
        <v>1.5917333688165658</v>
      </c>
      <c r="I51" s="4">
        <f t="shared" ca="1" si="6"/>
        <v>1.4267264867864842</v>
      </c>
      <c r="J51" s="4">
        <f t="shared" si="7"/>
        <v>1.5424641509007802</v>
      </c>
      <c r="K51" s="8">
        <f t="shared" ca="1" si="2"/>
        <v>1.5092299278015249</v>
      </c>
      <c r="L51" s="8">
        <f t="shared" ca="1" si="8"/>
        <v>1.7074710329308618</v>
      </c>
    </row>
    <row r="52" spans="1:12" x14ac:dyDescent="0.4">
      <c r="A52" s="5">
        <v>40</v>
      </c>
      <c r="B52" s="4">
        <f t="shared" si="3"/>
        <v>4</v>
      </c>
      <c r="C52" s="4">
        <v>12</v>
      </c>
      <c r="D52" s="8">
        <f t="shared" ca="1" si="0"/>
        <v>11.925328754203013</v>
      </c>
      <c r="E52" s="4">
        <f t="shared" ca="1" si="4"/>
        <v>0.32102006785045623</v>
      </c>
      <c r="F52" s="4">
        <f t="shared" ca="1" si="10"/>
        <v>1.6364106931376028</v>
      </c>
      <c r="G52" s="4">
        <f t="shared" ca="1" si="10"/>
        <v>1.7541268805480676</v>
      </c>
      <c r="H52" s="8">
        <f t="shared" ca="1" si="1"/>
        <v>1.7433588371787963</v>
      </c>
      <c r="I52" s="4">
        <f t="shared" ca="1" si="6"/>
        <v>1.5974735900795705</v>
      </c>
      <c r="J52" s="4">
        <f t="shared" si="7"/>
        <v>1.5882177358107021</v>
      </c>
      <c r="K52" s="8">
        <f t="shared" ca="1" si="2"/>
        <v>1.6704162136291834</v>
      </c>
      <c r="L52" s="8">
        <f t="shared" ca="1" si="8"/>
        <v>1.7341029829099279</v>
      </c>
    </row>
    <row r="53" spans="1:12" x14ac:dyDescent="0.4">
      <c r="A53" s="5">
        <v>41</v>
      </c>
      <c r="B53" s="4">
        <f t="shared" si="3"/>
        <v>4.1000000000000005</v>
      </c>
      <c r="C53" s="4">
        <v>12</v>
      </c>
      <c r="D53" s="8">
        <f t="shared" ca="1" si="0"/>
        <v>12.206059732000163</v>
      </c>
      <c r="E53" s="4">
        <f t="shared" ca="1" si="4"/>
        <v>0.56964903886256057</v>
      </c>
      <c r="F53" s="4">
        <f t="shared" ca="1" si="10"/>
        <v>1.6933755970238589</v>
      </c>
      <c r="G53" s="4">
        <f t="shared" ca="1" si="10"/>
        <v>1.9234644402504535</v>
      </c>
      <c r="H53" s="8">
        <f t="shared" ca="1" si="1"/>
        <v>1.9277504977052295</v>
      </c>
      <c r="I53" s="4">
        <f t="shared" ca="1" si="6"/>
        <v>1.7708838883705633</v>
      </c>
      <c r="J53" s="4">
        <f t="shared" si="7"/>
        <v>1.6293959622296319</v>
      </c>
      <c r="K53" s="8">
        <f t="shared" ca="1" si="2"/>
        <v>1.8493171930378964</v>
      </c>
      <c r="L53" s="8">
        <f t="shared" ca="1" si="8"/>
        <v>1.7862625715642981</v>
      </c>
    </row>
    <row r="54" spans="1:12" x14ac:dyDescent="0.4">
      <c r="A54" s="5">
        <v>42</v>
      </c>
      <c r="B54" s="4">
        <f t="shared" si="3"/>
        <v>4.2</v>
      </c>
      <c r="C54" s="4">
        <v>12</v>
      </c>
      <c r="D54" s="8">
        <f t="shared" ca="1" si="0"/>
        <v>11.840657210542616</v>
      </c>
      <c r="E54" s="4">
        <f t="shared" ca="1" si="4"/>
        <v>0.14728161351875757</v>
      </c>
      <c r="F54" s="4">
        <f t="shared" ca="1" si="10"/>
        <v>1.7081037583757346</v>
      </c>
      <c r="G54" s="4">
        <f t="shared" ca="1" si="10"/>
        <v>2.0942748160880269</v>
      </c>
      <c r="H54" s="8">
        <f t="shared" ca="1" si="1"/>
        <v>2.0931517852109631</v>
      </c>
      <c r="I54" s="4">
        <f t="shared" ca="1" si="6"/>
        <v>1.9495101455269932</v>
      </c>
      <c r="J54" s="4">
        <f t="shared" si="7"/>
        <v>1.6664563660066687</v>
      </c>
      <c r="K54" s="8">
        <f t="shared" ca="1" si="2"/>
        <v>2.0213309653689784</v>
      </c>
      <c r="L54" s="8">
        <f t="shared" ca="1" si="8"/>
        <v>1.8100980056906386</v>
      </c>
    </row>
    <row r="55" spans="1:12" x14ac:dyDescent="0.4">
      <c r="A55" s="5">
        <v>43</v>
      </c>
      <c r="B55" s="4">
        <f t="shared" si="3"/>
        <v>4.3</v>
      </c>
      <c r="C55" s="4">
        <v>12</v>
      </c>
      <c r="D55" s="8">
        <f t="shared" ca="1" si="0"/>
        <v>11.849412786115652</v>
      </c>
      <c r="E55" s="4">
        <f t="shared" ca="1" si="4"/>
        <v>0.14130902773991716</v>
      </c>
      <c r="F55" s="4">
        <f t="shared" ca="1" si="10"/>
        <v>1.7222346611497263</v>
      </c>
      <c r="G55" s="4">
        <f t="shared" ca="1" si="10"/>
        <v>2.2664982822029995</v>
      </c>
      <c r="H55" s="8">
        <f t="shared" ca="1" si="1"/>
        <v>2.2639555523131691</v>
      </c>
      <c r="I55" s="4">
        <f t="shared" ca="1" si="6"/>
        <v>2.1305199460960571</v>
      </c>
      <c r="J55" s="4">
        <f t="shared" si="7"/>
        <v>1.6998107294060019</v>
      </c>
      <c r="K55" s="8">
        <f t="shared" ca="1" si="2"/>
        <v>2.1972377492046133</v>
      </c>
      <c r="L55" s="8">
        <f t="shared" ca="1" si="8"/>
        <v>1.8332463356231139</v>
      </c>
    </row>
    <row r="56" spans="1:12" x14ac:dyDescent="0.4">
      <c r="A56" s="5">
        <v>44</v>
      </c>
      <c r="B56" s="4">
        <f t="shared" si="3"/>
        <v>4.4000000000000004</v>
      </c>
      <c r="C56" s="4">
        <v>12</v>
      </c>
      <c r="D56" s="8">
        <f t="shared" ca="1" si="0"/>
        <v>11.96031816140643</v>
      </c>
      <c r="E56" s="4">
        <f t="shared" ca="1" si="4"/>
        <v>0.23808350025670411</v>
      </c>
      <c r="F56" s="4">
        <f t="shared" ca="1" si="10"/>
        <v>1.7460430111753968</v>
      </c>
      <c r="G56" s="4">
        <f t="shared" ca="1" si="10"/>
        <v>2.4411025833205393</v>
      </c>
      <c r="H56" s="8">
        <f t="shared" ca="1" si="1"/>
        <v>2.4545100029506921</v>
      </c>
      <c r="I56" s="4">
        <f t="shared" ca="1" si="6"/>
        <v>2.3138445796583684</v>
      </c>
      <c r="J56" s="4">
        <f t="shared" si="7"/>
        <v>1.7298296564654017</v>
      </c>
      <c r="K56" s="8">
        <f t="shared" ca="1" si="2"/>
        <v>2.38417729130453</v>
      </c>
      <c r="L56" s="8">
        <f t="shared" ca="1" si="8"/>
        <v>1.8704950797577253</v>
      </c>
    </row>
    <row r="57" spans="1:12" x14ac:dyDescent="0.4">
      <c r="A57" s="5">
        <v>45</v>
      </c>
      <c r="B57" s="4">
        <f t="shared" si="3"/>
        <v>4.5</v>
      </c>
      <c r="C57" s="4">
        <v>12</v>
      </c>
      <c r="D57" s="8">
        <f t="shared" ca="1" si="0"/>
        <v>12.075744011054054</v>
      </c>
      <c r="E57" s="4">
        <f t="shared" ca="1" si="4"/>
        <v>0.32970099987865709</v>
      </c>
      <c r="F57" s="4">
        <f t="shared" ca="1" si="10"/>
        <v>1.7790131111632626</v>
      </c>
      <c r="G57" s="4">
        <f t="shared" ca="1" si="10"/>
        <v>2.6190038944368657</v>
      </c>
      <c r="H57" s="8">
        <f t="shared" ca="1" si="1"/>
        <v>2.6166018138762133</v>
      </c>
      <c r="I57" s="4">
        <f t="shared" ca="1" si="6"/>
        <v>2.500894087634141</v>
      </c>
      <c r="J57" s="4">
        <f t="shared" si="7"/>
        <v>1.7568466908188616</v>
      </c>
      <c r="K57" s="8">
        <f t="shared" ca="1" si="2"/>
        <v>2.5587479507551771</v>
      </c>
      <c r="L57" s="8">
        <f t="shared" ca="1" si="8"/>
        <v>1.8725544170609338</v>
      </c>
    </row>
    <row r="58" spans="1:12" x14ac:dyDescent="0.4">
      <c r="A58" s="5">
        <v>46</v>
      </c>
      <c r="B58" s="4">
        <f t="shared" si="3"/>
        <v>4.6000000000000005</v>
      </c>
      <c r="C58" s="4">
        <v>12</v>
      </c>
      <c r="D58" s="8">
        <f t="shared" ca="1" si="0"/>
        <v>12.053616499152584</v>
      </c>
      <c r="E58" s="4">
        <f t="shared" ca="1" si="4"/>
        <v>0.27460338798932149</v>
      </c>
      <c r="F58" s="4">
        <f t="shared" ca="1" si="10"/>
        <v>1.8064734499621946</v>
      </c>
      <c r="G58" s="4">
        <f t="shared" ca="1" si="10"/>
        <v>2.7996512394330852</v>
      </c>
      <c r="H58" s="8">
        <f t="shared" ca="1" si="1"/>
        <v>2.7972707942393442</v>
      </c>
      <c r="I58" s="4">
        <f t="shared" ca="1" si="6"/>
        <v>2.6881495293402344</v>
      </c>
      <c r="J58" s="4">
        <f t="shared" si="7"/>
        <v>1.7811620217369755</v>
      </c>
      <c r="K58" s="8">
        <f t="shared" ca="1" si="2"/>
        <v>2.7427101617897893</v>
      </c>
      <c r="L58" s="8">
        <f t="shared" ca="1" si="8"/>
        <v>1.8902832866360852</v>
      </c>
    </row>
    <row r="59" spans="1:12" x14ac:dyDescent="0.4">
      <c r="A59" s="5">
        <v>47</v>
      </c>
      <c r="B59" s="4">
        <f t="shared" si="3"/>
        <v>4.7</v>
      </c>
      <c r="C59" s="4">
        <v>12</v>
      </c>
      <c r="D59" s="8">
        <f t="shared" ca="1" si="0"/>
        <v>12.09915292593432</v>
      </c>
      <c r="E59" s="4">
        <f t="shared" ca="1" si="4"/>
        <v>0.29267947597212496</v>
      </c>
      <c r="F59" s="4">
        <f t="shared" ca="1" si="10"/>
        <v>1.835741397559407</v>
      </c>
      <c r="G59" s="4">
        <f t="shared" ca="1" si="10"/>
        <v>2.983225379189026</v>
      </c>
      <c r="H59" s="8">
        <f t="shared" ca="1" si="1"/>
        <v>2.9995177838445022</v>
      </c>
      <c r="I59" s="4">
        <f t="shared" ca="1" si="6"/>
        <v>2.8771778580038427</v>
      </c>
      <c r="J59" s="4">
        <f t="shared" si="7"/>
        <v>1.8030458195632779</v>
      </c>
      <c r="K59" s="8">
        <f t="shared" ca="1" si="2"/>
        <v>2.9383478209241725</v>
      </c>
      <c r="L59" s="8">
        <f t="shared" ca="1" si="8"/>
        <v>1.9253857454039374</v>
      </c>
    </row>
    <row r="60" spans="1:12" x14ac:dyDescent="0.4">
      <c r="A60" s="5">
        <v>48</v>
      </c>
      <c r="B60" s="4">
        <f t="shared" si="3"/>
        <v>4.8000000000000007</v>
      </c>
      <c r="C60" s="4">
        <v>12</v>
      </c>
      <c r="D60" s="8">
        <f t="shared" ca="1" si="0"/>
        <v>12.36465762261324</v>
      </c>
      <c r="E60" s="4">
        <f t="shared" ca="1" si="4"/>
        <v>0.52891622505383329</v>
      </c>
      <c r="F60" s="4">
        <f t="shared" ca="1" si="10"/>
        <v>1.8886330200647903</v>
      </c>
      <c r="G60" s="4">
        <f t="shared" ca="1" si="10"/>
        <v>3.1720886811955049</v>
      </c>
      <c r="H60" s="8">
        <f t="shared" ca="1" si="1"/>
        <v>3.1790890647917949</v>
      </c>
      <c r="I60" s="4">
        <f t="shared" ca="1" si="6"/>
        <v>3.0697164325442365</v>
      </c>
      <c r="J60" s="4">
        <f t="shared" si="7"/>
        <v>1.8227412376069501</v>
      </c>
      <c r="K60" s="8">
        <f t="shared" ca="1" si="2"/>
        <v>3.1244027486680155</v>
      </c>
      <c r="L60" s="8">
        <f t="shared" ca="1" si="8"/>
        <v>1.9321138698545084</v>
      </c>
    </row>
    <row r="61" spans="1:12" x14ac:dyDescent="0.4">
      <c r="A61" s="5">
        <v>49</v>
      </c>
      <c r="B61" s="4">
        <f t="shared" si="3"/>
        <v>4.9000000000000004</v>
      </c>
      <c r="C61" s="4">
        <v>12</v>
      </c>
      <c r="D61" s="8">
        <f t="shared" ca="1" si="0"/>
        <v>11.852512833437034</v>
      </c>
      <c r="E61" s="4">
        <f t="shared" ca="1" si="4"/>
        <v>-3.612018662775629E-2</v>
      </c>
      <c r="F61" s="4">
        <f t="shared" ca="1" si="10"/>
        <v>1.8850210014020146</v>
      </c>
      <c r="G61" s="4">
        <f t="shared" ca="1" si="10"/>
        <v>3.3605907813357065</v>
      </c>
      <c r="H61" s="8">
        <f t="shared" ca="1" si="1"/>
        <v>3.3559061005280024</v>
      </c>
      <c r="I61" s="4">
        <f t="shared" ca="1" si="6"/>
        <v>3.2629278195296876</v>
      </c>
      <c r="J61" s="4">
        <f t="shared" si="7"/>
        <v>1.8404671138462549</v>
      </c>
      <c r="K61" s="8">
        <f t="shared" ca="1" si="2"/>
        <v>3.309416960028845</v>
      </c>
      <c r="L61" s="8">
        <f t="shared" ca="1" si="8"/>
        <v>1.9334453948445698</v>
      </c>
    </row>
    <row r="62" spans="1:12" x14ac:dyDescent="0.4">
      <c r="A62" s="5">
        <v>50</v>
      </c>
      <c r="B62" s="4">
        <f t="shared" si="3"/>
        <v>5</v>
      </c>
      <c r="C62" s="4">
        <v>10</v>
      </c>
      <c r="D62" s="8">
        <f t="shared" ca="1" si="0"/>
        <v>9.9199986467476382</v>
      </c>
      <c r="E62" s="4">
        <f t="shared" ca="1" si="4"/>
        <v>-1.9650223546543764</v>
      </c>
      <c r="F62" s="4">
        <f t="shared" ref="F62:G77" ca="1" si="11">F61+E62*$E$2</f>
        <v>1.688518765936577</v>
      </c>
      <c r="G62" s="4">
        <f t="shared" ca="1" si="11"/>
        <v>3.5294426579293643</v>
      </c>
      <c r="H62" s="8">
        <f t="shared" ca="1" si="1"/>
        <v>3.5331848594363593</v>
      </c>
      <c r="I62" s="4">
        <f t="shared" ca="1" si="6"/>
        <v>3.4562723590141444</v>
      </c>
      <c r="J62" s="4">
        <f t="shared" si="7"/>
        <v>1.8564204024616295</v>
      </c>
      <c r="K62" s="8">
        <f t="shared" ca="1" si="2"/>
        <v>3.4947286092252519</v>
      </c>
      <c r="L62" s="8">
        <f t="shared" ca="1" si="8"/>
        <v>1.9333329028838444</v>
      </c>
    </row>
    <row r="63" spans="1:12" x14ac:dyDescent="0.4">
      <c r="A63" s="5">
        <v>51</v>
      </c>
      <c r="B63" s="4">
        <f t="shared" si="3"/>
        <v>5.1000000000000005</v>
      </c>
      <c r="C63" s="4">
        <v>10</v>
      </c>
      <c r="D63" s="8">
        <f t="shared" ca="1" si="0"/>
        <v>10.066803122021957</v>
      </c>
      <c r="E63" s="4">
        <f t="shared" ca="1" si="4"/>
        <v>-1.6217156439146199</v>
      </c>
      <c r="F63" s="4">
        <f t="shared" ca="1" si="11"/>
        <v>1.5263472015451149</v>
      </c>
      <c r="G63" s="4">
        <f t="shared" ca="1" si="11"/>
        <v>3.6820773780838758</v>
      </c>
      <c r="H63" s="8">
        <f t="shared" ca="1" si="1"/>
        <v>3.6902722985195329</v>
      </c>
      <c r="I63" s="4">
        <f t="shared" ca="1" si="6"/>
        <v>3.6496056493025288</v>
      </c>
      <c r="J63" s="4">
        <f t="shared" si="7"/>
        <v>1.6707783622154666</v>
      </c>
      <c r="K63" s="8">
        <f t="shared" ca="1" si="2"/>
        <v>3.6699389739110311</v>
      </c>
      <c r="L63" s="8">
        <f t="shared" ca="1" si="8"/>
        <v>1.7114450114324706</v>
      </c>
    </row>
    <row r="64" spans="1:12" x14ac:dyDescent="0.4">
      <c r="A64" s="5">
        <v>52</v>
      </c>
      <c r="B64" s="4">
        <f t="shared" si="3"/>
        <v>5.2</v>
      </c>
      <c r="C64" s="4">
        <v>10</v>
      </c>
      <c r="D64" s="8">
        <f t="shared" ca="1" si="0"/>
        <v>9.9992844079329046</v>
      </c>
      <c r="E64" s="4">
        <f t="shared" ca="1" si="4"/>
        <v>-1.5270627936122103</v>
      </c>
      <c r="F64" s="4">
        <f t="shared" ca="1" si="11"/>
        <v>1.3736409221838939</v>
      </c>
      <c r="G64" s="4">
        <f t="shared" ca="1" si="11"/>
        <v>3.819441470302265</v>
      </c>
      <c r="H64" s="8">
        <f t="shared" ca="1" si="1"/>
        <v>3.8091756381812729</v>
      </c>
      <c r="I64" s="4">
        <f t="shared" ca="1" si="6"/>
        <v>3.8207501504457761</v>
      </c>
      <c r="J64" s="4">
        <f t="shared" si="7"/>
        <v>1.50370052599392</v>
      </c>
      <c r="K64" s="8">
        <f t="shared" ca="1" si="2"/>
        <v>3.8149628943135245</v>
      </c>
      <c r="L64" s="8">
        <f t="shared" ca="1" si="8"/>
        <v>1.4921260137294168</v>
      </c>
    </row>
    <row r="65" spans="1:12" x14ac:dyDescent="0.4">
      <c r="A65" s="5">
        <v>53</v>
      </c>
      <c r="B65" s="4">
        <f t="shared" si="3"/>
        <v>5.3000000000000007</v>
      </c>
      <c r="C65" s="4">
        <v>10</v>
      </c>
      <c r="D65" s="8">
        <f t="shared" ca="1" si="0"/>
        <v>9.9694611852058106</v>
      </c>
      <c r="E65" s="4">
        <f t="shared" ca="1" si="4"/>
        <v>-1.4041797369780833</v>
      </c>
      <c r="F65" s="4">
        <f t="shared" ca="1" si="11"/>
        <v>1.2332229484860855</v>
      </c>
      <c r="G65" s="4">
        <f t="shared" ca="1" si="11"/>
        <v>3.9427637651508736</v>
      </c>
      <c r="H65" s="8">
        <f t="shared" ca="1" si="1"/>
        <v>3.9486132640500009</v>
      </c>
      <c r="I65" s="4">
        <f t="shared" ca="1" si="6"/>
        <v>3.9699627518187177</v>
      </c>
      <c r="J65" s="4">
        <f t="shared" si="7"/>
        <v>1.3533304733945279</v>
      </c>
      <c r="K65" s="8">
        <f t="shared" ca="1" si="2"/>
        <v>3.9592880079343593</v>
      </c>
      <c r="L65" s="8">
        <f t="shared" ca="1" si="8"/>
        <v>1.3319809856258111</v>
      </c>
    </row>
    <row r="66" spans="1:12" x14ac:dyDescent="0.4">
      <c r="A66" s="5">
        <v>54</v>
      </c>
      <c r="B66" s="4">
        <f t="shared" si="3"/>
        <v>5.4</v>
      </c>
      <c r="C66" s="4">
        <v>10</v>
      </c>
      <c r="D66" s="8">
        <f t="shared" ca="1" si="0"/>
        <v>10.069988019628829</v>
      </c>
      <c r="E66" s="4">
        <f t="shared" ca="1" si="4"/>
        <v>-1.1632349288572568</v>
      </c>
      <c r="F66" s="4">
        <f t="shared" ca="1" si="11"/>
        <v>1.1168994556003597</v>
      </c>
      <c r="G66" s="4">
        <f t="shared" ca="1" si="11"/>
        <v>4.0544537107109093</v>
      </c>
      <c r="H66" s="8">
        <f t="shared" ca="1" si="1"/>
        <v>4.0515121194976924</v>
      </c>
      <c r="I66" s="4">
        <f t="shared" ca="1" si="6"/>
        <v>4.1031608503812986</v>
      </c>
      <c r="J66" s="4">
        <f t="shared" si="7"/>
        <v>1.2179974260550752</v>
      </c>
      <c r="K66" s="8">
        <f t="shared" ca="1" si="2"/>
        <v>4.0773364849394955</v>
      </c>
      <c r="L66" s="8">
        <f t="shared" ca="1" si="8"/>
        <v>1.166348695171469</v>
      </c>
    </row>
    <row r="67" spans="1:12" x14ac:dyDescent="0.4">
      <c r="A67" s="5">
        <v>55</v>
      </c>
      <c r="B67" s="4">
        <f t="shared" si="3"/>
        <v>5.5</v>
      </c>
      <c r="C67" s="4">
        <v>10</v>
      </c>
      <c r="D67" s="8">
        <f t="shared" ca="1" si="0"/>
        <v>10.188279283623569</v>
      </c>
      <c r="E67" s="4">
        <f t="shared" ca="1" si="4"/>
        <v>-0.92862017197679103</v>
      </c>
      <c r="F67" s="4">
        <f t="shared" ca="1" si="11"/>
        <v>1.0240374384026807</v>
      </c>
      <c r="G67" s="4">
        <f t="shared" ca="1" si="11"/>
        <v>4.1568574545511776</v>
      </c>
      <c r="H67" s="8">
        <f t="shared" ca="1" si="1"/>
        <v>4.1370596461650679</v>
      </c>
      <c r="I67" s="4">
        <f t="shared" ca="1" si="6"/>
        <v>4.2197957198984453</v>
      </c>
      <c r="J67" s="4">
        <f t="shared" si="7"/>
        <v>1.0961976834495677</v>
      </c>
      <c r="K67" s="8">
        <f t="shared" ca="1" si="2"/>
        <v>4.1784276830317566</v>
      </c>
      <c r="L67" s="8">
        <f t="shared" ca="1" si="8"/>
        <v>1.0134616097161904</v>
      </c>
    </row>
    <row r="68" spans="1:12" x14ac:dyDescent="0.4">
      <c r="A68" s="5">
        <v>56</v>
      </c>
      <c r="B68" s="4">
        <f t="shared" si="3"/>
        <v>5.6000000000000005</v>
      </c>
      <c r="C68" s="4">
        <v>10</v>
      </c>
      <c r="D68" s="8">
        <f t="shared" ca="1" si="0"/>
        <v>10.240521773289702</v>
      </c>
      <c r="E68" s="4">
        <f t="shared" ca="1" si="4"/>
        <v>-0.78351566511297888</v>
      </c>
      <c r="F68" s="4">
        <f t="shared" ca="1" si="11"/>
        <v>0.94568587189138276</v>
      </c>
      <c r="G68" s="4">
        <f t="shared" ca="1" si="11"/>
        <v>4.2514260417403156</v>
      </c>
      <c r="H68" s="8">
        <f t="shared" ca="1" si="1"/>
        <v>4.2246960197741341</v>
      </c>
      <c r="I68" s="4">
        <f t="shared" ca="1" si="6"/>
        <v>4.3211418808700639</v>
      </c>
      <c r="J68" s="4">
        <f t="shared" si="7"/>
        <v>0.9865779151046109</v>
      </c>
      <c r="K68" s="8">
        <f t="shared" ca="1" si="2"/>
        <v>4.272918950322099</v>
      </c>
      <c r="L68" s="8">
        <f t="shared" ca="1" si="8"/>
        <v>0.89013205400868112</v>
      </c>
    </row>
    <row r="69" spans="1:12" x14ac:dyDescent="0.4">
      <c r="A69" s="5">
        <v>57</v>
      </c>
      <c r="B69" s="4">
        <f t="shared" si="3"/>
        <v>5.7</v>
      </c>
      <c r="C69" s="4">
        <v>10</v>
      </c>
      <c r="D69" s="8">
        <f t="shared" ca="1" si="0"/>
        <v>9.9388743177412593</v>
      </c>
      <c r="E69" s="4">
        <f t="shared" ca="1" si="4"/>
        <v>-1.0068115541501235</v>
      </c>
      <c r="F69" s="4">
        <f t="shared" ca="1" si="11"/>
        <v>0.84500471647637043</v>
      </c>
      <c r="G69" s="4">
        <f t="shared" ca="1" si="11"/>
        <v>4.3359265133879523</v>
      </c>
      <c r="H69" s="8">
        <f t="shared" ca="1" si="1"/>
        <v>4.3315157499894834</v>
      </c>
      <c r="I69" s="4">
        <f t="shared" ca="1" si="6"/>
        <v>4.4101550862709322</v>
      </c>
      <c r="J69" s="4">
        <f t="shared" si="7"/>
        <v>0.88792012359414985</v>
      </c>
      <c r="K69" s="8">
        <f t="shared" ca="1" si="2"/>
        <v>4.3708354181302074</v>
      </c>
      <c r="L69" s="8">
        <f t="shared" ca="1" si="8"/>
        <v>0.80928078731270103</v>
      </c>
    </row>
    <row r="70" spans="1:12" x14ac:dyDescent="0.4">
      <c r="A70" s="5">
        <v>58</v>
      </c>
      <c r="B70" s="4">
        <f t="shared" si="3"/>
        <v>5.8000000000000007</v>
      </c>
      <c r="C70" s="4">
        <v>10</v>
      </c>
      <c r="D70" s="8">
        <f t="shared" ca="1" si="0"/>
        <v>10.133617502584309</v>
      </c>
      <c r="E70" s="4">
        <f t="shared" ca="1" si="4"/>
        <v>-0.71138721389206105</v>
      </c>
      <c r="F70" s="4">
        <f t="shared" ca="1" si="11"/>
        <v>0.77386599508716436</v>
      </c>
      <c r="G70" s="4">
        <f t="shared" ca="1" si="11"/>
        <v>4.4133131128966685</v>
      </c>
      <c r="H70" s="8">
        <f t="shared" ca="1" si="1"/>
        <v>4.417369681789161</v>
      </c>
      <c r="I70" s="4">
        <f t="shared" ca="1" si="6"/>
        <v>4.4910831650022027</v>
      </c>
      <c r="J70" s="4">
        <f t="shared" si="7"/>
        <v>0.79912811123473493</v>
      </c>
      <c r="K70" s="8">
        <f t="shared" ca="1" si="2"/>
        <v>4.4542264233956814</v>
      </c>
      <c r="L70" s="8">
        <f t="shared" ca="1" si="8"/>
        <v>0.72541462802169321</v>
      </c>
    </row>
    <row r="71" spans="1:12" x14ac:dyDescent="0.4">
      <c r="A71" s="5">
        <v>59</v>
      </c>
      <c r="B71" s="4">
        <f t="shared" si="3"/>
        <v>5.9</v>
      </c>
      <c r="C71" s="4">
        <v>10</v>
      </c>
      <c r="D71" s="8">
        <f t="shared" ca="1" si="0"/>
        <v>10.15241769781526</v>
      </c>
      <c r="E71" s="4">
        <f t="shared" ca="1" si="4"/>
        <v>-0.62144829727190476</v>
      </c>
      <c r="F71" s="4">
        <f t="shared" ca="1" si="11"/>
        <v>0.71172116535997387</v>
      </c>
      <c r="G71" s="4">
        <f t="shared" ca="1" si="11"/>
        <v>4.484485229432666</v>
      </c>
      <c r="H71" s="8">
        <f t="shared" ca="1" si="1"/>
        <v>4.4684827054245959</v>
      </c>
      <c r="I71" s="4">
        <f t="shared" ca="1" si="6"/>
        <v>4.5636246278043719</v>
      </c>
      <c r="J71" s="4">
        <f t="shared" si="7"/>
        <v>0.71921530011126145</v>
      </c>
      <c r="K71" s="8">
        <f t="shared" ca="1" si="2"/>
        <v>4.5160536666144839</v>
      </c>
      <c r="L71" s="8">
        <f t="shared" ca="1" si="8"/>
        <v>0.62407337773148541</v>
      </c>
    </row>
    <row r="72" spans="1:12" x14ac:dyDescent="0.4">
      <c r="A72" s="5">
        <v>60</v>
      </c>
      <c r="B72" s="4">
        <f t="shared" si="3"/>
        <v>6</v>
      </c>
      <c r="C72" s="4">
        <v>10</v>
      </c>
      <c r="D72" s="8">
        <f t="shared" ca="1" si="0"/>
        <v>10.024479587328525</v>
      </c>
      <c r="E72" s="4">
        <f t="shared" ca="1" si="4"/>
        <v>-0.68724157803144903</v>
      </c>
      <c r="F72" s="4">
        <f t="shared" ca="1" si="11"/>
        <v>0.64299700755682898</v>
      </c>
      <c r="G72" s="4">
        <f t="shared" ca="1" si="11"/>
        <v>4.548784930188349</v>
      </c>
      <c r="H72" s="8">
        <f t="shared" ca="1" si="1"/>
        <v>4.5522887689641873</v>
      </c>
      <c r="I72" s="4">
        <f t="shared" ca="1" si="6"/>
        <v>4.6260319655775204</v>
      </c>
      <c r="J72" s="4">
        <f t="shared" si="7"/>
        <v>0.64729377010013533</v>
      </c>
      <c r="K72" s="8">
        <f t="shared" ca="1" si="2"/>
        <v>4.5891603672708534</v>
      </c>
      <c r="L72" s="8">
        <f t="shared" ca="1" si="8"/>
        <v>0.57355057348680227</v>
      </c>
    </row>
    <row r="73" spans="1:12" x14ac:dyDescent="0.4">
      <c r="A73" s="5">
        <v>61</v>
      </c>
      <c r="B73" s="4">
        <f t="shared" si="3"/>
        <v>6.1000000000000005</v>
      </c>
      <c r="C73" s="4">
        <v>10</v>
      </c>
      <c r="D73" s="8">
        <f t="shared" ca="1" si="0"/>
        <v>9.9389121259317843</v>
      </c>
      <c r="E73" s="4">
        <f t="shared" ca="1" si="4"/>
        <v>-0.70408488162504468</v>
      </c>
      <c r="F73" s="4">
        <f t="shared" ca="1" si="11"/>
        <v>0.57258851939432454</v>
      </c>
      <c r="G73" s="4">
        <f t="shared" ca="1" si="11"/>
        <v>4.6060437821277818</v>
      </c>
      <c r="H73" s="8">
        <f t="shared" ca="1" si="1"/>
        <v>4.6262989381136101</v>
      </c>
      <c r="I73" s="4">
        <f t="shared" ca="1" si="6"/>
        <v>4.6833870229262002</v>
      </c>
      <c r="J73" s="4">
        <f t="shared" si="7"/>
        <v>0.58256439309012187</v>
      </c>
      <c r="K73" s="8">
        <f t="shared" ca="1" si="2"/>
        <v>4.6548429805199056</v>
      </c>
      <c r="L73" s="8">
        <f t="shared" ca="1" si="8"/>
        <v>0.52547630827753178</v>
      </c>
    </row>
    <row r="74" spans="1:12" x14ac:dyDescent="0.4">
      <c r="A74" s="5">
        <v>62</v>
      </c>
      <c r="B74" s="4">
        <f t="shared" si="3"/>
        <v>6.2</v>
      </c>
      <c r="C74" s="4">
        <v>10</v>
      </c>
      <c r="D74" s="8">
        <f t="shared" ca="1" si="0"/>
        <v>10.023987765036003</v>
      </c>
      <c r="E74" s="4">
        <f t="shared" ca="1" si="4"/>
        <v>-0.54860075435832201</v>
      </c>
      <c r="F74" s="4">
        <f t="shared" ca="1" si="11"/>
        <v>0.51772844395849238</v>
      </c>
      <c r="G74" s="4">
        <f t="shared" ca="1" si="11"/>
        <v>4.6578166265236307</v>
      </c>
      <c r="H74" s="8">
        <f t="shared" ca="1" si="1"/>
        <v>4.6556222306507182</v>
      </c>
      <c r="I74" s="4">
        <f t="shared" ca="1" si="6"/>
        <v>4.7359346537539535</v>
      </c>
      <c r="J74" s="4">
        <f t="shared" si="7"/>
        <v>0.52430795378110973</v>
      </c>
      <c r="K74" s="8">
        <f t="shared" ca="1" si="2"/>
        <v>4.6957784422023359</v>
      </c>
      <c r="L74" s="8">
        <f t="shared" ca="1" si="8"/>
        <v>0.44399553067787445</v>
      </c>
    </row>
    <row r="75" spans="1:12" x14ac:dyDescent="0.4">
      <c r="A75" s="5">
        <v>63</v>
      </c>
      <c r="B75" s="4">
        <f t="shared" si="3"/>
        <v>6.3000000000000007</v>
      </c>
      <c r="C75" s="4">
        <v>10</v>
      </c>
      <c r="D75" s="8">
        <f t="shared" ca="1" si="0"/>
        <v>10.151619577404052</v>
      </c>
      <c r="E75" s="4">
        <f t="shared" ca="1" si="4"/>
        <v>-0.36610886655444053</v>
      </c>
      <c r="F75" s="4">
        <f t="shared" ca="1" si="11"/>
        <v>0.48111755730304834</v>
      </c>
      <c r="G75" s="4">
        <f t="shared" ca="1" si="11"/>
        <v>4.7059283822539353</v>
      </c>
      <c r="H75" s="8">
        <f t="shared" ca="1" si="1"/>
        <v>4.7009571263519216</v>
      </c>
      <c r="I75" s="4">
        <f t="shared" ca="1" si="6"/>
        <v>4.7803342068217409</v>
      </c>
      <c r="J75" s="4">
        <f t="shared" si="7"/>
        <v>0.47187715840299876</v>
      </c>
      <c r="K75" s="8">
        <f t="shared" ca="1" si="2"/>
        <v>4.7406456665868308</v>
      </c>
      <c r="L75" s="8">
        <f t="shared" ca="1" si="8"/>
        <v>0.39250007793317948</v>
      </c>
    </row>
    <row r="76" spans="1:12" x14ac:dyDescent="0.4">
      <c r="A76" s="5">
        <v>64</v>
      </c>
      <c r="B76" s="4">
        <f t="shared" si="3"/>
        <v>6.4</v>
      </c>
      <c r="C76" s="4">
        <v>10</v>
      </c>
      <c r="D76" s="8">
        <f t="shared" ca="1" si="0"/>
        <v>10.085031178205364</v>
      </c>
      <c r="E76" s="4">
        <f t="shared" ca="1" si="4"/>
        <v>-0.39608637909768424</v>
      </c>
      <c r="F76" s="4">
        <f t="shared" ca="1" si="11"/>
        <v>0.44150891939327991</v>
      </c>
      <c r="G76" s="4">
        <f t="shared" ca="1" si="11"/>
        <v>4.7500792741932631</v>
      </c>
      <c r="H76" s="8">
        <f t="shared" ref="H76:H112" ca="1" si="12">G76+IF($C$6&lt;=0,0,_xlfn.NORM.INV(RAND(),0,$C$6))</f>
        <v>4.7440660677437707</v>
      </c>
      <c r="I76" s="4">
        <f t="shared" ca="1" si="6"/>
        <v>4.8195842146150589</v>
      </c>
      <c r="J76" s="4">
        <f t="shared" si="7"/>
        <v>0.42468944256269892</v>
      </c>
      <c r="K76" s="8">
        <f t="shared" ca="1" si="2"/>
        <v>4.7818251411794144</v>
      </c>
      <c r="L76" s="8">
        <f t="shared" ca="1" si="8"/>
        <v>0.3491712956914107</v>
      </c>
    </row>
    <row r="77" spans="1:12" x14ac:dyDescent="0.4">
      <c r="A77" s="5">
        <v>65</v>
      </c>
      <c r="B77" s="4">
        <f t="shared" si="3"/>
        <v>6.5</v>
      </c>
      <c r="C77" s="4">
        <v>10</v>
      </c>
      <c r="D77" s="8">
        <f t="shared" ref="D77:D112" ca="1" si="13">C77+IF($B$6&lt;=0,0,_xlfn.NORM.INV(RAND(),0,$B$6))</f>
        <v>9.994436441690441</v>
      </c>
      <c r="E77" s="4">
        <f t="shared" ca="1" si="4"/>
        <v>-0.44707247770283892</v>
      </c>
      <c r="F77" s="4">
        <f t="shared" ca="1" si="11"/>
        <v>0.39680167162299601</v>
      </c>
      <c r="G77" s="4">
        <f t="shared" ca="1" si="11"/>
        <v>4.7897594413555629</v>
      </c>
      <c r="H77" s="8">
        <f t="shared" ca="1" si="12"/>
        <v>4.792252585352327</v>
      </c>
      <c r="I77" s="4">
        <f t="shared" ca="1" si="6"/>
        <v>4.8545013441842002</v>
      </c>
      <c r="J77" s="4">
        <f t="shared" si="7"/>
        <v>0.38222049830642901</v>
      </c>
      <c r="K77" s="8">
        <f t="shared" ref="K77:K112" ca="1" si="14">I77+$B$8*(H77-I77)</f>
        <v>4.8233769647682632</v>
      </c>
      <c r="L77" s="8">
        <f t="shared" ca="1" si="8"/>
        <v>0.31997173947455582</v>
      </c>
    </row>
    <row r="78" spans="1:12" x14ac:dyDescent="0.4">
      <c r="A78" s="5">
        <v>66</v>
      </c>
      <c r="B78" s="4">
        <f t="shared" ref="B78:B112" si="15">A78*$E$2</f>
        <v>6.6000000000000005</v>
      </c>
      <c r="C78" s="4">
        <v>10</v>
      </c>
      <c r="D78" s="8">
        <f t="shared" ca="1" si="13"/>
        <v>10.162913588220626</v>
      </c>
      <c r="E78" s="4">
        <f t="shared" ref="E78:E112" ca="1" si="16">(D78+$C$2+$D$2*F77)/$B$2</f>
        <v>-0.23388808340237038</v>
      </c>
      <c r="F78" s="4">
        <f t="shared" ref="F78:G93" ca="1" si="17">F77+E78*$E$2</f>
        <v>0.37341286328275897</v>
      </c>
      <c r="G78" s="4">
        <f t="shared" ca="1" si="17"/>
        <v>4.8271007276838391</v>
      </c>
      <c r="H78" s="8">
        <f t="shared" ca="1" si="12"/>
        <v>4.8159868980342964</v>
      </c>
      <c r="I78" s="4">
        <f t="shared" ref="I78:I112" ca="1" si="18">I77+L77*$E$2</f>
        <v>4.8864985181316554</v>
      </c>
      <c r="J78" s="4">
        <f t="shared" ref="J78:J112" si="19">(1+$D$2*$E$2/$B$2)*J77+$E$2*(C77+$C$2)/$B$2</f>
        <v>0.34399844847578614</v>
      </c>
      <c r="K78" s="8">
        <f t="shared" ca="1" si="14"/>
        <v>4.8512427080829763</v>
      </c>
      <c r="L78" s="8">
        <f t="shared" ref="L78:L112" ca="1" si="20">J78+$C$8*(H78-I78)/$E$2</f>
        <v>0.27348682837842714</v>
      </c>
    </row>
    <row r="79" spans="1:12" x14ac:dyDescent="0.4">
      <c r="A79" s="5">
        <v>67</v>
      </c>
      <c r="B79" s="4">
        <f t="shared" si="15"/>
        <v>6.7</v>
      </c>
      <c r="C79" s="4">
        <v>10</v>
      </c>
      <c r="D79" s="8">
        <f t="shared" ca="1" si="13"/>
        <v>9.8967859739635564</v>
      </c>
      <c r="E79" s="4">
        <f t="shared" ca="1" si="16"/>
        <v>-0.47662688931920255</v>
      </c>
      <c r="F79" s="4">
        <f t="shared" ca="1" si="17"/>
        <v>0.32575017435083869</v>
      </c>
      <c r="G79" s="4">
        <f t="shared" ca="1" si="17"/>
        <v>4.8596757451189232</v>
      </c>
      <c r="H79" s="8">
        <f t="shared" ca="1" si="12"/>
        <v>4.8706621284654066</v>
      </c>
      <c r="I79" s="4">
        <f t="shared" ca="1" si="18"/>
        <v>4.9138472009694985</v>
      </c>
      <c r="J79" s="4">
        <f t="shared" si="19"/>
        <v>0.30959860362820751</v>
      </c>
      <c r="K79" s="8">
        <f t="shared" ca="1" si="14"/>
        <v>4.8922546647174521</v>
      </c>
      <c r="L79" s="8">
        <f t="shared" ca="1" si="20"/>
        <v>0.26641353112411564</v>
      </c>
    </row>
    <row r="80" spans="1:12" x14ac:dyDescent="0.4">
      <c r="A80" s="5">
        <v>68</v>
      </c>
      <c r="B80" s="4">
        <f t="shared" si="15"/>
        <v>6.8000000000000007</v>
      </c>
      <c r="C80" s="4">
        <v>10</v>
      </c>
      <c r="D80" s="8">
        <f t="shared" ca="1" si="13"/>
        <v>9.9619707390723669</v>
      </c>
      <c r="E80" s="4">
        <f t="shared" ca="1" si="16"/>
        <v>-0.36377943527847184</v>
      </c>
      <c r="F80" s="4">
        <f t="shared" ca="1" si="17"/>
        <v>0.28937223082299152</v>
      </c>
      <c r="G80" s="4">
        <f t="shared" ca="1" si="17"/>
        <v>4.8886129682012225</v>
      </c>
      <c r="H80" s="8">
        <f t="shared" ca="1" si="12"/>
        <v>4.8712261701443458</v>
      </c>
      <c r="I80" s="4">
        <f t="shared" ca="1" si="18"/>
        <v>4.9404885540819103</v>
      </c>
      <c r="J80" s="4">
        <f t="shared" si="19"/>
        <v>0.27863874326538679</v>
      </c>
      <c r="K80" s="8">
        <f t="shared" ca="1" si="14"/>
        <v>4.9058573621131281</v>
      </c>
      <c r="L80" s="8">
        <f t="shared" ca="1" si="20"/>
        <v>0.20937635932782223</v>
      </c>
    </row>
    <row r="81" spans="1:12" x14ac:dyDescent="0.4">
      <c r="A81" s="5">
        <v>69</v>
      </c>
      <c r="B81" s="4">
        <f t="shared" si="15"/>
        <v>6.9</v>
      </c>
      <c r="C81" s="4">
        <v>10</v>
      </c>
      <c r="D81" s="8">
        <f t="shared" ca="1" si="13"/>
        <v>9.9412125159102693</v>
      </c>
      <c r="E81" s="4">
        <f t="shared" ca="1" si="16"/>
        <v>-0.34815971491272218</v>
      </c>
      <c r="F81" s="4">
        <f t="shared" ca="1" si="17"/>
        <v>0.25455625933171933</v>
      </c>
      <c r="G81" s="4">
        <f t="shared" ca="1" si="17"/>
        <v>4.9140685941343945</v>
      </c>
      <c r="H81" s="8">
        <f t="shared" ca="1" si="12"/>
        <v>4.9271830411671953</v>
      </c>
      <c r="I81" s="4">
        <f t="shared" ca="1" si="18"/>
        <v>4.9614261900146923</v>
      </c>
      <c r="J81" s="4">
        <f t="shared" si="19"/>
        <v>0.25077486893884809</v>
      </c>
      <c r="K81" s="8">
        <f t="shared" ca="1" si="14"/>
        <v>4.9443046155909443</v>
      </c>
      <c r="L81" s="8">
        <f t="shared" ca="1" si="20"/>
        <v>0.21653172009135108</v>
      </c>
    </row>
    <row r="82" spans="1:12" x14ac:dyDescent="0.4">
      <c r="A82" s="5">
        <v>70</v>
      </c>
      <c r="B82" s="4">
        <f t="shared" si="15"/>
        <v>7</v>
      </c>
      <c r="C82" s="4">
        <v>10</v>
      </c>
      <c r="D82" s="8">
        <f t="shared" ca="1" si="13"/>
        <v>9.9194350154902775</v>
      </c>
      <c r="E82" s="4">
        <f t="shared" ca="1" si="16"/>
        <v>-0.33512124384144182</v>
      </c>
      <c r="F82" s="4">
        <f t="shared" ca="1" si="17"/>
        <v>0.22104413494757513</v>
      </c>
      <c r="G82" s="4">
        <f t="shared" ca="1" si="17"/>
        <v>4.9361730076291517</v>
      </c>
      <c r="H82" s="8">
        <f t="shared" ca="1" si="12"/>
        <v>4.9353308136352521</v>
      </c>
      <c r="I82" s="4">
        <f t="shared" ca="1" si="18"/>
        <v>4.9830793620238278</v>
      </c>
      <c r="J82" s="4">
        <f t="shared" si="19"/>
        <v>0.22569738204496329</v>
      </c>
      <c r="K82" s="8">
        <f t="shared" ca="1" si="14"/>
        <v>4.9592050878295399</v>
      </c>
      <c r="L82" s="8">
        <f t="shared" ca="1" si="20"/>
        <v>0.1779488336563875</v>
      </c>
    </row>
    <row r="83" spans="1:12" x14ac:dyDescent="0.4">
      <c r="A83" s="5">
        <v>71</v>
      </c>
      <c r="B83" s="4">
        <f t="shared" si="15"/>
        <v>7.1000000000000005</v>
      </c>
      <c r="C83" s="4">
        <v>10</v>
      </c>
      <c r="D83" s="8">
        <f t="shared" ca="1" si="13"/>
        <v>9.998571714562301</v>
      </c>
      <c r="E83" s="4">
        <f t="shared" ca="1" si="16"/>
        <v>-0.22247242038527415</v>
      </c>
      <c r="F83" s="4">
        <f t="shared" ca="1" si="17"/>
        <v>0.19879689290904773</v>
      </c>
      <c r="G83" s="4">
        <f t="shared" ca="1" si="17"/>
        <v>4.9560526969200565</v>
      </c>
      <c r="H83" s="8">
        <f t="shared" ca="1" si="12"/>
        <v>4.9567596283662052</v>
      </c>
      <c r="I83" s="4">
        <f t="shared" ca="1" si="18"/>
        <v>5.0008742453894666</v>
      </c>
      <c r="J83" s="4">
        <f t="shared" si="19"/>
        <v>0.20312764384046697</v>
      </c>
      <c r="K83" s="8">
        <f t="shared" ca="1" si="14"/>
        <v>4.9788169368778359</v>
      </c>
      <c r="L83" s="8">
        <f t="shared" ca="1" si="20"/>
        <v>0.15901302681720561</v>
      </c>
    </row>
    <row r="84" spans="1:12" x14ac:dyDescent="0.4">
      <c r="A84" s="5">
        <v>72</v>
      </c>
      <c r="B84" s="4">
        <f t="shared" si="15"/>
        <v>7.2</v>
      </c>
      <c r="C84" s="4">
        <v>10</v>
      </c>
      <c r="D84" s="8">
        <f t="shared" ca="1" si="13"/>
        <v>9.9678954989647082</v>
      </c>
      <c r="E84" s="4">
        <f t="shared" ca="1" si="16"/>
        <v>-0.23090139394433956</v>
      </c>
      <c r="F84" s="4">
        <f t="shared" ca="1" si="17"/>
        <v>0.17570675351461376</v>
      </c>
      <c r="G84" s="4">
        <f t="shared" ca="1" si="17"/>
        <v>4.9736233722715175</v>
      </c>
      <c r="H84" s="8">
        <f t="shared" ca="1" si="12"/>
        <v>4.9611738007806689</v>
      </c>
      <c r="I84" s="4">
        <f t="shared" ca="1" si="18"/>
        <v>5.0167755480711875</v>
      </c>
      <c r="J84" s="4">
        <f t="shared" si="19"/>
        <v>0.18281487945642028</v>
      </c>
      <c r="K84" s="8">
        <f t="shared" ca="1" si="14"/>
        <v>4.9889746744259282</v>
      </c>
      <c r="L84" s="8">
        <f t="shared" ca="1" si="20"/>
        <v>0.12721313216590169</v>
      </c>
    </row>
    <row r="85" spans="1:12" x14ac:dyDescent="0.4">
      <c r="A85" s="5">
        <v>73</v>
      </c>
      <c r="B85" s="4">
        <f t="shared" si="15"/>
        <v>7.3000000000000007</v>
      </c>
      <c r="C85" s="4">
        <v>10</v>
      </c>
      <c r="D85" s="8">
        <f t="shared" ca="1" si="13"/>
        <v>9.8958050202175976</v>
      </c>
      <c r="E85" s="4">
        <f t="shared" ca="1" si="16"/>
        <v>-0.27990173329701618</v>
      </c>
      <c r="F85" s="4">
        <f t="shared" ca="1" si="17"/>
        <v>0.14771658018491213</v>
      </c>
      <c r="G85" s="4">
        <f t="shared" ca="1" si="17"/>
        <v>4.9883950302900084</v>
      </c>
      <c r="H85" s="8">
        <f t="shared" ca="1" si="12"/>
        <v>4.982957273634586</v>
      </c>
      <c r="I85" s="4">
        <f t="shared" ca="1" si="18"/>
        <v>5.029496861287778</v>
      </c>
      <c r="J85" s="4">
        <f t="shared" si="19"/>
        <v>0.16453339151077825</v>
      </c>
      <c r="K85" s="8">
        <f t="shared" ca="1" si="14"/>
        <v>5.0062270674611824</v>
      </c>
      <c r="L85" s="8">
        <f t="shared" ca="1" si="20"/>
        <v>0.11799380385758626</v>
      </c>
    </row>
    <row r="86" spans="1:12" x14ac:dyDescent="0.4">
      <c r="A86" s="5">
        <v>74</v>
      </c>
      <c r="B86" s="4">
        <f t="shared" si="15"/>
        <v>7.4</v>
      </c>
      <c r="C86" s="4">
        <v>10</v>
      </c>
      <c r="D86" s="8">
        <f t="shared" ca="1" si="13"/>
        <v>9.9358033752324513</v>
      </c>
      <c r="E86" s="4">
        <f t="shared" ca="1" si="16"/>
        <v>-0.21191320495246085</v>
      </c>
      <c r="F86" s="4">
        <f t="shared" ca="1" si="17"/>
        <v>0.12652525968966605</v>
      </c>
      <c r="G86" s="4">
        <f t="shared" ca="1" si="17"/>
        <v>5.0010475562589747</v>
      </c>
      <c r="H86" s="8">
        <f t="shared" ca="1" si="12"/>
        <v>4.9868919174902038</v>
      </c>
      <c r="I86" s="4">
        <f t="shared" ca="1" si="18"/>
        <v>5.0412962416735363</v>
      </c>
      <c r="J86" s="4">
        <f t="shared" si="19"/>
        <v>0.14808005235970043</v>
      </c>
      <c r="K86" s="8">
        <f t="shared" ca="1" si="14"/>
        <v>5.01409407958187</v>
      </c>
      <c r="L86" s="8">
        <f t="shared" ca="1" si="20"/>
        <v>9.3675728176367906E-2</v>
      </c>
    </row>
    <row r="87" spans="1:12" x14ac:dyDescent="0.4">
      <c r="A87" s="5">
        <v>75</v>
      </c>
      <c r="B87" s="4">
        <f t="shared" si="15"/>
        <v>7.5</v>
      </c>
      <c r="C87" s="4">
        <v>12</v>
      </c>
      <c r="D87" s="8">
        <f t="shared" ca="1" si="13"/>
        <v>11.966382604519735</v>
      </c>
      <c r="E87" s="4">
        <f t="shared" ca="1" si="16"/>
        <v>1.839857344830069</v>
      </c>
      <c r="F87" s="4">
        <f t="shared" ca="1" si="17"/>
        <v>0.31051099417267297</v>
      </c>
      <c r="G87" s="4">
        <f t="shared" ca="1" si="17"/>
        <v>5.0320986556762417</v>
      </c>
      <c r="H87" s="8">
        <f t="shared" ca="1" si="12"/>
        <v>5.042351371351999</v>
      </c>
      <c r="I87" s="4">
        <f t="shared" ca="1" si="18"/>
        <v>5.0506638144911733</v>
      </c>
      <c r="J87" s="4">
        <f t="shared" si="19"/>
        <v>0.13327204712373039</v>
      </c>
      <c r="K87" s="8">
        <f t="shared" ca="1" si="14"/>
        <v>5.0465075929215857</v>
      </c>
      <c r="L87" s="8">
        <f t="shared" ca="1" si="20"/>
        <v>0.12495960398455605</v>
      </c>
    </row>
    <row r="88" spans="1:12" x14ac:dyDescent="0.4">
      <c r="A88" s="5">
        <v>76</v>
      </c>
      <c r="B88" s="4">
        <f t="shared" si="15"/>
        <v>7.6000000000000005</v>
      </c>
      <c r="C88" s="4">
        <v>12</v>
      </c>
      <c r="D88" s="8">
        <f t="shared" ca="1" si="13"/>
        <v>11.996050758122117</v>
      </c>
      <c r="E88" s="4">
        <f t="shared" ca="1" si="16"/>
        <v>1.6855397639494436</v>
      </c>
      <c r="F88" s="4">
        <f t="shared" ca="1" si="17"/>
        <v>0.47906497056761732</v>
      </c>
      <c r="G88" s="4">
        <f t="shared" ca="1" si="17"/>
        <v>5.080005152733003</v>
      </c>
      <c r="H88" s="8">
        <f t="shared" ca="1" si="12"/>
        <v>5.0652330849889458</v>
      </c>
      <c r="I88" s="4">
        <f t="shared" ca="1" si="18"/>
        <v>5.0631597748896287</v>
      </c>
      <c r="J88" s="4">
        <f t="shared" si="19"/>
        <v>0.31994484241135734</v>
      </c>
      <c r="K88" s="8">
        <f t="shared" ca="1" si="14"/>
        <v>5.0641964299392868</v>
      </c>
      <c r="L88" s="8">
        <f t="shared" ca="1" si="20"/>
        <v>0.32201815251067445</v>
      </c>
    </row>
    <row r="89" spans="1:12" x14ac:dyDescent="0.4">
      <c r="A89" s="5">
        <v>77</v>
      </c>
      <c r="B89" s="4">
        <f t="shared" si="15"/>
        <v>7.7</v>
      </c>
      <c r="C89" s="4">
        <v>12</v>
      </c>
      <c r="D89" s="8">
        <f t="shared" ca="1" si="13"/>
        <v>11.908222737130503</v>
      </c>
      <c r="E89" s="4">
        <f t="shared" ca="1" si="16"/>
        <v>1.4291577665628854</v>
      </c>
      <c r="F89" s="4">
        <f t="shared" ca="1" si="17"/>
        <v>0.62198074722390584</v>
      </c>
      <c r="G89" s="4">
        <f t="shared" ca="1" si="17"/>
        <v>5.1422032274553935</v>
      </c>
      <c r="H89" s="8">
        <f t="shared" ca="1" si="12"/>
        <v>5.1481835025522704</v>
      </c>
      <c r="I89" s="4">
        <f t="shared" ca="1" si="18"/>
        <v>5.0953615901406959</v>
      </c>
      <c r="J89" s="4">
        <f t="shared" si="19"/>
        <v>0.48795035817022164</v>
      </c>
      <c r="K89" s="8">
        <f t="shared" ca="1" si="14"/>
        <v>5.1217725463464827</v>
      </c>
      <c r="L89" s="8">
        <f t="shared" ca="1" si="20"/>
        <v>0.54077227058179611</v>
      </c>
    </row>
    <row r="90" spans="1:12" x14ac:dyDescent="0.4">
      <c r="A90" s="5">
        <v>78</v>
      </c>
      <c r="B90" s="4">
        <f t="shared" si="15"/>
        <v>7.8000000000000007</v>
      </c>
      <c r="C90" s="4">
        <v>12</v>
      </c>
      <c r="D90" s="8">
        <f t="shared" ca="1" si="13"/>
        <v>11.9857167991448</v>
      </c>
      <c r="E90" s="4">
        <f t="shared" ca="1" si="16"/>
        <v>1.3637360519208943</v>
      </c>
      <c r="F90" s="4">
        <f t="shared" ca="1" si="17"/>
        <v>0.75835435241599525</v>
      </c>
      <c r="G90" s="4">
        <f t="shared" ca="1" si="17"/>
        <v>5.2180386626969932</v>
      </c>
      <c r="H90" s="8">
        <f t="shared" ca="1" si="12"/>
        <v>5.220062555978628</v>
      </c>
      <c r="I90" s="4">
        <f t="shared" ca="1" si="18"/>
        <v>5.1494388171988756</v>
      </c>
      <c r="J90" s="4">
        <f t="shared" si="19"/>
        <v>0.6391553223531995</v>
      </c>
      <c r="K90" s="8">
        <f t="shared" ca="1" si="14"/>
        <v>5.1847506865887514</v>
      </c>
      <c r="L90" s="8">
        <f t="shared" ca="1" si="20"/>
        <v>0.70977906113295186</v>
      </c>
    </row>
    <row r="91" spans="1:12" x14ac:dyDescent="0.4">
      <c r="A91" s="5">
        <v>79</v>
      </c>
      <c r="B91" s="4">
        <f t="shared" si="15"/>
        <v>7.9</v>
      </c>
      <c r="C91" s="4">
        <v>12</v>
      </c>
      <c r="D91" s="8">
        <f t="shared" ca="1" si="13"/>
        <v>11.90481982580998</v>
      </c>
      <c r="E91" s="4">
        <f t="shared" ca="1" si="16"/>
        <v>1.146465473393985</v>
      </c>
      <c r="F91" s="4">
        <f t="shared" ca="1" si="17"/>
        <v>0.87300089975539374</v>
      </c>
      <c r="G91" s="4">
        <f t="shared" ca="1" si="17"/>
        <v>5.3053387526725322</v>
      </c>
      <c r="H91" s="8">
        <f t="shared" ca="1" si="12"/>
        <v>5.2812962105609387</v>
      </c>
      <c r="I91" s="4">
        <f t="shared" ca="1" si="18"/>
        <v>5.2204167233121712</v>
      </c>
      <c r="J91" s="4">
        <f t="shared" si="19"/>
        <v>0.77523979011787958</v>
      </c>
      <c r="K91" s="8">
        <f t="shared" ca="1" si="14"/>
        <v>5.2508564669365549</v>
      </c>
      <c r="L91" s="8">
        <f t="shared" ca="1" si="20"/>
        <v>0.83611927736664704</v>
      </c>
    </row>
    <row r="92" spans="1:12" x14ac:dyDescent="0.4">
      <c r="A92" s="5">
        <v>80</v>
      </c>
      <c r="B92" s="4">
        <f t="shared" si="15"/>
        <v>8</v>
      </c>
      <c r="C92" s="4">
        <v>12</v>
      </c>
      <c r="D92" s="8">
        <f t="shared" ca="1" si="13"/>
        <v>12.016688644543164</v>
      </c>
      <c r="E92" s="4">
        <f t="shared" ca="1" si="16"/>
        <v>1.1436877447877702</v>
      </c>
      <c r="F92" s="4">
        <f t="shared" ca="1" si="17"/>
        <v>0.98736967423417077</v>
      </c>
      <c r="G92" s="4">
        <f t="shared" ca="1" si="17"/>
        <v>5.4040757200959497</v>
      </c>
      <c r="H92" s="8">
        <f t="shared" ca="1" si="12"/>
        <v>5.4014488381696681</v>
      </c>
      <c r="I92" s="4">
        <f t="shared" ca="1" si="18"/>
        <v>5.3040286510488359</v>
      </c>
      <c r="J92" s="4">
        <f t="shared" si="19"/>
        <v>0.89771581110609167</v>
      </c>
      <c r="K92" s="8">
        <f t="shared" ca="1" si="14"/>
        <v>5.352738744609252</v>
      </c>
      <c r="L92" s="8">
        <f t="shared" ca="1" si="20"/>
        <v>0.99513599822692389</v>
      </c>
    </row>
    <row r="93" spans="1:12" x14ac:dyDescent="0.4">
      <c r="A93" s="5">
        <v>81</v>
      </c>
      <c r="B93" s="4">
        <f t="shared" si="15"/>
        <v>8.1</v>
      </c>
      <c r="C93" s="4">
        <v>12</v>
      </c>
      <c r="D93" s="8">
        <f t="shared" ca="1" si="13"/>
        <v>11.870570547449203</v>
      </c>
      <c r="E93" s="4">
        <f t="shared" ca="1" si="16"/>
        <v>0.88320087321503238</v>
      </c>
      <c r="F93" s="4">
        <f t="shared" ca="1" si="17"/>
        <v>1.075689761555674</v>
      </c>
      <c r="G93" s="4">
        <f t="shared" ca="1" si="17"/>
        <v>5.5116446962515173</v>
      </c>
      <c r="H93" s="8">
        <f t="shared" ca="1" si="12"/>
        <v>5.5220682419419171</v>
      </c>
      <c r="I93" s="4">
        <f t="shared" ca="1" si="18"/>
        <v>5.4035422508715287</v>
      </c>
      <c r="J93" s="4">
        <f t="shared" si="19"/>
        <v>1.0079442299954826</v>
      </c>
      <c r="K93" s="8">
        <f t="shared" ca="1" si="14"/>
        <v>5.4628052464067229</v>
      </c>
      <c r="L93" s="8">
        <f t="shared" ca="1" si="20"/>
        <v>1.126470221065871</v>
      </c>
    </row>
    <row r="94" spans="1:12" x14ac:dyDescent="0.4">
      <c r="A94" s="5">
        <v>82</v>
      </c>
      <c r="B94" s="4">
        <f t="shared" si="15"/>
        <v>8.2000000000000011</v>
      </c>
      <c r="C94" s="4">
        <v>12</v>
      </c>
      <c r="D94" s="8">
        <f t="shared" ca="1" si="13"/>
        <v>12.068848767346617</v>
      </c>
      <c r="E94" s="4">
        <f t="shared" ca="1" si="16"/>
        <v>0.99315900579094341</v>
      </c>
      <c r="F94" s="4">
        <f t="shared" ref="F94:G109" ca="1" si="21">F93+E94*$E$2</f>
        <v>1.1750056621347684</v>
      </c>
      <c r="G94" s="4">
        <f t="shared" ca="1" si="21"/>
        <v>5.629145262464994</v>
      </c>
      <c r="H94" s="8">
        <f t="shared" ca="1" si="12"/>
        <v>5.6513239215231197</v>
      </c>
      <c r="I94" s="4">
        <f t="shared" ca="1" si="18"/>
        <v>5.5161892729781155</v>
      </c>
      <c r="J94" s="4">
        <f t="shared" si="19"/>
        <v>1.1071498069959345</v>
      </c>
      <c r="K94" s="8">
        <f t="shared" ca="1" si="14"/>
        <v>5.583756597250618</v>
      </c>
      <c r="L94" s="8">
        <f t="shared" ca="1" si="20"/>
        <v>1.2422844555409387</v>
      </c>
    </row>
    <row r="95" spans="1:12" x14ac:dyDescent="0.4">
      <c r="A95" s="5">
        <v>83</v>
      </c>
      <c r="B95" s="4">
        <f t="shared" si="15"/>
        <v>8.3000000000000007</v>
      </c>
      <c r="C95" s="4">
        <v>12</v>
      </c>
      <c r="D95" s="8">
        <f t="shared" ca="1" si="13"/>
        <v>11.878402534575384</v>
      </c>
      <c r="E95" s="4">
        <f t="shared" ca="1" si="16"/>
        <v>0.70339687244061588</v>
      </c>
      <c r="F95" s="4">
        <f t="shared" ca="1" si="21"/>
        <v>1.24534534937883</v>
      </c>
      <c r="G95" s="4">
        <f t="shared" ca="1" si="21"/>
        <v>5.753679797402877</v>
      </c>
      <c r="H95" s="8">
        <f t="shared" ca="1" si="12"/>
        <v>5.745995432949246</v>
      </c>
      <c r="I95" s="4">
        <f t="shared" ca="1" si="18"/>
        <v>5.6404177185322091</v>
      </c>
      <c r="J95" s="4">
        <f t="shared" si="19"/>
        <v>1.1964348262963411</v>
      </c>
      <c r="K95" s="8">
        <f t="shared" ca="1" si="14"/>
        <v>5.693206575740728</v>
      </c>
      <c r="L95" s="8">
        <f t="shared" ca="1" si="20"/>
        <v>1.302012540713378</v>
      </c>
    </row>
    <row r="96" spans="1:12" x14ac:dyDescent="0.4">
      <c r="A96" s="5">
        <v>84</v>
      </c>
      <c r="B96" s="4">
        <f t="shared" si="15"/>
        <v>8.4</v>
      </c>
      <c r="C96" s="4">
        <v>12</v>
      </c>
      <c r="D96" s="8">
        <f t="shared" ca="1" si="13"/>
        <v>11.712949368350833</v>
      </c>
      <c r="E96" s="4">
        <f t="shared" ca="1" si="16"/>
        <v>0.46760401897200254</v>
      </c>
      <c r="F96" s="4">
        <f t="shared" ca="1" si="21"/>
        <v>1.2921057512760303</v>
      </c>
      <c r="G96" s="4">
        <f t="shared" ca="1" si="21"/>
        <v>5.88289037253048</v>
      </c>
      <c r="H96" s="8">
        <f t="shared" ca="1" si="12"/>
        <v>5.8698911003950007</v>
      </c>
      <c r="I96" s="4">
        <f t="shared" ca="1" si="18"/>
        <v>5.7706189726035468</v>
      </c>
      <c r="J96" s="4">
        <f t="shared" si="19"/>
        <v>1.2767913436667071</v>
      </c>
      <c r="K96" s="8">
        <f t="shared" ca="1" si="14"/>
        <v>5.8202550364992742</v>
      </c>
      <c r="L96" s="8">
        <f t="shared" ca="1" si="20"/>
        <v>1.376063471458161</v>
      </c>
    </row>
    <row r="97" spans="1:12" x14ac:dyDescent="0.4">
      <c r="A97" s="5">
        <v>85</v>
      </c>
      <c r="B97" s="4">
        <f t="shared" si="15"/>
        <v>8.5</v>
      </c>
      <c r="C97" s="4">
        <v>12</v>
      </c>
      <c r="D97" s="8">
        <f t="shared" ca="1" si="13"/>
        <v>12.018449516205541</v>
      </c>
      <c r="E97" s="4">
        <f t="shared" ca="1" si="16"/>
        <v>0.72634376492951058</v>
      </c>
      <c r="F97" s="4">
        <f t="shared" ca="1" si="21"/>
        <v>1.3647401277689815</v>
      </c>
      <c r="G97" s="4">
        <f t="shared" ca="1" si="21"/>
        <v>6.0193643853073784</v>
      </c>
      <c r="H97" s="8">
        <f t="shared" ca="1" si="12"/>
        <v>6.0130077040456067</v>
      </c>
      <c r="I97" s="4">
        <f t="shared" ca="1" si="18"/>
        <v>5.9082253197493628</v>
      </c>
      <c r="J97" s="4">
        <f t="shared" si="19"/>
        <v>1.3491122093000363</v>
      </c>
      <c r="K97" s="8">
        <f t="shared" ca="1" si="14"/>
        <v>5.9606165118974843</v>
      </c>
      <c r="L97" s="8">
        <f t="shared" ca="1" si="20"/>
        <v>1.4538945935962801</v>
      </c>
    </row>
    <row r="98" spans="1:12" x14ac:dyDescent="0.4">
      <c r="A98" s="5">
        <v>86</v>
      </c>
      <c r="B98" s="4">
        <f t="shared" si="15"/>
        <v>8.6</v>
      </c>
      <c r="C98" s="4">
        <v>12</v>
      </c>
      <c r="D98" s="8">
        <f t="shared" ca="1" si="13"/>
        <v>12.016254410911857</v>
      </c>
      <c r="E98" s="4">
        <f t="shared" ca="1" si="16"/>
        <v>0.65151428314287596</v>
      </c>
      <c r="F98" s="4">
        <f t="shared" ca="1" si="21"/>
        <v>1.429891556083269</v>
      </c>
      <c r="G98" s="4">
        <f t="shared" ca="1" si="21"/>
        <v>6.1623535409157055</v>
      </c>
      <c r="H98" s="8">
        <f t="shared" ca="1" si="12"/>
        <v>6.1566716327990498</v>
      </c>
      <c r="I98" s="4">
        <f t="shared" ca="1" si="18"/>
        <v>6.0536147791089912</v>
      </c>
      <c r="J98" s="4">
        <f t="shared" si="19"/>
        <v>1.4142009883700326</v>
      </c>
      <c r="K98" s="8">
        <f t="shared" ca="1" si="14"/>
        <v>6.10514320595402</v>
      </c>
      <c r="L98" s="8">
        <f t="shared" ca="1" si="20"/>
        <v>1.5172578420600913</v>
      </c>
    </row>
    <row r="99" spans="1:12" x14ac:dyDescent="0.4">
      <c r="A99" s="5">
        <v>87</v>
      </c>
      <c r="B99" s="4">
        <f t="shared" si="15"/>
        <v>8.7000000000000011</v>
      </c>
      <c r="C99" s="4">
        <v>12</v>
      </c>
      <c r="D99" s="8">
        <f t="shared" ca="1" si="13"/>
        <v>11.861161261160815</v>
      </c>
      <c r="E99" s="4">
        <f t="shared" ca="1" si="16"/>
        <v>0.43126970507754581</v>
      </c>
      <c r="F99" s="4">
        <f t="shared" ca="1" si="21"/>
        <v>1.4730185265910236</v>
      </c>
      <c r="G99" s="4">
        <f t="shared" ca="1" si="21"/>
        <v>6.3096553935748076</v>
      </c>
      <c r="H99" s="8">
        <f t="shared" ca="1" si="12"/>
        <v>6.3036456703762038</v>
      </c>
      <c r="I99" s="4">
        <f t="shared" ca="1" si="18"/>
        <v>6.2053405633150005</v>
      </c>
      <c r="J99" s="4">
        <f t="shared" si="19"/>
        <v>1.4727808895330294</v>
      </c>
      <c r="K99" s="8">
        <f t="shared" ca="1" si="14"/>
        <v>6.2544931168456017</v>
      </c>
      <c r="L99" s="8">
        <f t="shared" ca="1" si="20"/>
        <v>1.5710859965942328</v>
      </c>
    </row>
    <row r="100" spans="1:12" x14ac:dyDescent="0.4">
      <c r="A100" s="5">
        <v>88</v>
      </c>
      <c r="B100" s="4">
        <f t="shared" si="15"/>
        <v>8.8000000000000007</v>
      </c>
      <c r="C100" s="4">
        <v>12</v>
      </c>
      <c r="D100" s="8">
        <f t="shared" ca="1" si="13"/>
        <v>12.124952212911143</v>
      </c>
      <c r="E100" s="4">
        <f t="shared" ca="1" si="16"/>
        <v>0.65193368632011972</v>
      </c>
      <c r="F100" s="4">
        <f t="shared" ca="1" si="21"/>
        <v>1.5382118952230357</v>
      </c>
      <c r="G100" s="4">
        <f t="shared" ca="1" si="21"/>
        <v>6.463476583097111</v>
      </c>
      <c r="H100" s="8">
        <f t="shared" ca="1" si="12"/>
        <v>6.4476165529268554</v>
      </c>
      <c r="I100" s="4">
        <f t="shared" ca="1" si="18"/>
        <v>6.362449162974424</v>
      </c>
      <c r="J100" s="4">
        <f t="shared" si="19"/>
        <v>1.5255028005797264</v>
      </c>
      <c r="K100" s="8">
        <f t="shared" ca="1" si="14"/>
        <v>6.4050328579506397</v>
      </c>
      <c r="L100" s="8">
        <f t="shared" ca="1" si="20"/>
        <v>1.6106701905321579</v>
      </c>
    </row>
    <row r="101" spans="1:12" x14ac:dyDescent="0.4">
      <c r="A101" s="5">
        <v>89</v>
      </c>
      <c r="B101" s="4">
        <f t="shared" si="15"/>
        <v>8.9</v>
      </c>
      <c r="C101" s="4">
        <v>12</v>
      </c>
      <c r="D101" s="8">
        <f t="shared" ca="1" si="13"/>
        <v>11.944613407698462</v>
      </c>
      <c r="E101" s="4">
        <f t="shared" ca="1" si="16"/>
        <v>0.40640151247542633</v>
      </c>
      <c r="F101" s="4">
        <f t="shared" ca="1" si="21"/>
        <v>1.5788520464705784</v>
      </c>
      <c r="G101" s="4">
        <f t="shared" ca="1" si="21"/>
        <v>6.6213617877441688</v>
      </c>
      <c r="H101" s="8">
        <f t="shared" ca="1" si="12"/>
        <v>6.6339632420427401</v>
      </c>
      <c r="I101" s="4">
        <f t="shared" ca="1" si="18"/>
        <v>6.5235161820276399</v>
      </c>
      <c r="J101" s="4">
        <f t="shared" si="19"/>
        <v>1.5729525205217538</v>
      </c>
      <c r="K101" s="8">
        <f t="shared" ca="1" si="14"/>
        <v>6.5787397120351905</v>
      </c>
      <c r="L101" s="8">
        <f t="shared" ca="1" si="20"/>
        <v>1.683399580536854</v>
      </c>
    </row>
    <row r="102" spans="1:12" x14ac:dyDescent="0.4">
      <c r="A102" s="5">
        <v>90</v>
      </c>
      <c r="B102" s="4">
        <f t="shared" si="15"/>
        <v>9</v>
      </c>
      <c r="C102" s="4">
        <v>12</v>
      </c>
      <c r="D102" s="8">
        <f t="shared" ca="1" si="13"/>
        <v>11.906672590221675</v>
      </c>
      <c r="E102" s="4">
        <f t="shared" ca="1" si="16"/>
        <v>0.32782054375109615</v>
      </c>
      <c r="F102" s="4">
        <f t="shared" ca="1" si="21"/>
        <v>1.611634100845688</v>
      </c>
      <c r="G102" s="4">
        <f t="shared" ca="1" si="21"/>
        <v>6.782525197828738</v>
      </c>
      <c r="H102" s="8">
        <f t="shared" ca="1" si="12"/>
        <v>6.7872186536831798</v>
      </c>
      <c r="I102" s="4">
        <f t="shared" ca="1" si="18"/>
        <v>6.6918561400813257</v>
      </c>
      <c r="J102" s="4">
        <f t="shared" si="19"/>
        <v>1.6156572684695785</v>
      </c>
      <c r="K102" s="8">
        <f t="shared" ca="1" si="14"/>
        <v>6.7395373968822527</v>
      </c>
      <c r="L102" s="8">
        <f t="shared" ca="1" si="20"/>
        <v>1.7110197820714326</v>
      </c>
    </row>
    <row r="103" spans="1:12" x14ac:dyDescent="0.4">
      <c r="A103" s="5">
        <v>91</v>
      </c>
      <c r="B103" s="4">
        <f t="shared" si="15"/>
        <v>9.1</v>
      </c>
      <c r="C103" s="4">
        <v>12</v>
      </c>
      <c r="D103" s="8">
        <f t="shared" ca="1" si="13"/>
        <v>12.180341717946767</v>
      </c>
      <c r="E103" s="4">
        <f t="shared" ca="1" si="16"/>
        <v>0.5687076171010792</v>
      </c>
      <c r="F103" s="4">
        <f t="shared" ca="1" si="21"/>
        <v>1.6685048625557959</v>
      </c>
      <c r="G103" s="4">
        <f t="shared" ca="1" si="21"/>
        <v>6.9493756840843179</v>
      </c>
      <c r="H103" s="8">
        <f t="shared" ca="1" si="12"/>
        <v>6.9461608261728438</v>
      </c>
      <c r="I103" s="4">
        <f t="shared" ca="1" si="18"/>
        <v>6.8629581182884687</v>
      </c>
      <c r="J103" s="4">
        <f t="shared" si="19"/>
        <v>1.6540915416226205</v>
      </c>
      <c r="K103" s="8">
        <f t="shared" ca="1" si="14"/>
        <v>6.9045594722306562</v>
      </c>
      <c r="L103" s="8">
        <f t="shared" ca="1" si="20"/>
        <v>1.7372942495069956</v>
      </c>
    </row>
    <row r="104" spans="1:12" x14ac:dyDescent="0.4">
      <c r="A104" s="5">
        <v>92</v>
      </c>
      <c r="B104" s="4">
        <f t="shared" si="15"/>
        <v>9.2000000000000011</v>
      </c>
      <c r="C104" s="4">
        <v>12</v>
      </c>
      <c r="D104" s="8">
        <f t="shared" ca="1" si="13"/>
        <v>12.049560814061234</v>
      </c>
      <c r="E104" s="4">
        <f t="shared" ca="1" si="16"/>
        <v>0.38105595150543814</v>
      </c>
      <c r="F104" s="4">
        <f t="shared" ca="1" si="21"/>
        <v>1.7066104577063397</v>
      </c>
      <c r="G104" s="4">
        <f t="shared" ca="1" si="21"/>
        <v>7.1200367298549523</v>
      </c>
      <c r="H104" s="8">
        <f t="shared" ca="1" si="12"/>
        <v>7.1136943333772704</v>
      </c>
      <c r="I104" s="4">
        <f t="shared" ca="1" si="18"/>
        <v>7.036687543239168</v>
      </c>
      <c r="J104" s="4">
        <f t="shared" si="19"/>
        <v>1.6886823874603585</v>
      </c>
      <c r="K104" s="8">
        <f t="shared" ca="1" si="14"/>
        <v>7.0751909383082197</v>
      </c>
      <c r="L104" s="8">
        <f t="shared" ca="1" si="20"/>
        <v>1.7656891775984609</v>
      </c>
    </row>
    <row r="105" spans="1:12" x14ac:dyDescent="0.4">
      <c r="A105" s="5">
        <v>93</v>
      </c>
      <c r="B105" s="4">
        <f t="shared" si="15"/>
        <v>9.3000000000000007</v>
      </c>
      <c r="C105" s="4">
        <v>12</v>
      </c>
      <c r="D105" s="8">
        <f t="shared" ca="1" si="13"/>
        <v>12.07679456685146</v>
      </c>
      <c r="E105" s="4">
        <f t="shared" ca="1" si="16"/>
        <v>0.3701841091451199</v>
      </c>
      <c r="F105" s="4">
        <f t="shared" ca="1" si="21"/>
        <v>1.7436288686208516</v>
      </c>
      <c r="G105" s="4">
        <f t="shared" ca="1" si="21"/>
        <v>7.2943996167170377</v>
      </c>
      <c r="H105" s="8">
        <f t="shared" ca="1" si="12"/>
        <v>7.286355742612745</v>
      </c>
      <c r="I105" s="4">
        <f t="shared" ca="1" si="18"/>
        <v>7.2132564609990144</v>
      </c>
      <c r="J105" s="4">
        <f t="shared" si="19"/>
        <v>1.7198141487143226</v>
      </c>
      <c r="K105" s="8">
        <f t="shared" ca="1" si="14"/>
        <v>7.2498061018058797</v>
      </c>
      <c r="L105" s="8">
        <f t="shared" ca="1" si="20"/>
        <v>1.7929134303280532</v>
      </c>
    </row>
    <row r="106" spans="1:12" x14ac:dyDescent="0.4">
      <c r="A106" s="5">
        <v>94</v>
      </c>
      <c r="B106" s="4">
        <f t="shared" si="15"/>
        <v>9.4</v>
      </c>
      <c r="C106" s="4">
        <v>12</v>
      </c>
      <c r="D106" s="8">
        <f t="shared" ca="1" si="13"/>
        <v>11.966644370672045</v>
      </c>
      <c r="E106" s="4">
        <f t="shared" ca="1" si="16"/>
        <v>0.22301550205119303</v>
      </c>
      <c r="F106" s="4">
        <f t="shared" ca="1" si="21"/>
        <v>1.765930418825971</v>
      </c>
      <c r="G106" s="4">
        <f t="shared" ca="1" si="21"/>
        <v>7.4709926585996351</v>
      </c>
      <c r="H106" s="8">
        <f t="shared" ca="1" si="12"/>
        <v>7.4935561033849156</v>
      </c>
      <c r="I106" s="4">
        <f t="shared" ca="1" si="18"/>
        <v>7.3925478040318193</v>
      </c>
      <c r="J106" s="4">
        <f t="shared" si="19"/>
        <v>1.7478327338428903</v>
      </c>
      <c r="K106" s="8">
        <f t="shared" ca="1" si="14"/>
        <v>7.4430519537083679</v>
      </c>
      <c r="L106" s="8">
        <f t="shared" ca="1" si="20"/>
        <v>1.8488410331959866</v>
      </c>
    </row>
    <row r="107" spans="1:12" x14ac:dyDescent="0.4">
      <c r="A107" s="5">
        <v>95</v>
      </c>
      <c r="B107" s="4">
        <f t="shared" si="15"/>
        <v>9.5</v>
      </c>
      <c r="C107" s="4">
        <v>12</v>
      </c>
      <c r="D107" s="8">
        <f t="shared" ca="1" si="13"/>
        <v>12.051792087348352</v>
      </c>
      <c r="E107" s="4">
        <f t="shared" ca="1" si="16"/>
        <v>0.28586166852238049</v>
      </c>
      <c r="F107" s="4">
        <f t="shared" ca="1" si="21"/>
        <v>1.794516585678209</v>
      </c>
      <c r="G107" s="4">
        <f t="shared" ca="1" si="21"/>
        <v>7.6504443171674561</v>
      </c>
      <c r="H107" s="8">
        <f t="shared" ca="1" si="12"/>
        <v>7.6579847121688189</v>
      </c>
      <c r="I107" s="4">
        <f t="shared" ca="1" si="18"/>
        <v>7.5774319073514178</v>
      </c>
      <c r="J107" s="4">
        <f t="shared" si="19"/>
        <v>1.7730494604586013</v>
      </c>
      <c r="K107" s="8">
        <f t="shared" ca="1" si="14"/>
        <v>7.6177083097601184</v>
      </c>
      <c r="L107" s="8">
        <f t="shared" ca="1" si="20"/>
        <v>1.8536022652760025</v>
      </c>
    </row>
    <row r="108" spans="1:12" x14ac:dyDescent="0.4">
      <c r="A108" s="5">
        <v>96</v>
      </c>
      <c r="B108" s="4">
        <f t="shared" si="15"/>
        <v>9.6000000000000014</v>
      </c>
      <c r="C108" s="4">
        <v>12</v>
      </c>
      <c r="D108" s="8">
        <f t="shared" ca="1" si="13"/>
        <v>11.916731328888364</v>
      </c>
      <c r="E108" s="4">
        <f t="shared" ca="1" si="16"/>
        <v>0.12221474321015502</v>
      </c>
      <c r="F108" s="4">
        <f t="shared" ca="1" si="21"/>
        <v>1.8067380599992244</v>
      </c>
      <c r="G108" s="4">
        <f t="shared" ca="1" si="21"/>
        <v>7.8311181231673785</v>
      </c>
      <c r="H108" s="8">
        <f t="shared" ca="1" si="12"/>
        <v>7.8401546142842546</v>
      </c>
      <c r="I108" s="4">
        <f t="shared" ca="1" si="18"/>
        <v>7.7627921338790182</v>
      </c>
      <c r="J108" s="4">
        <f t="shared" si="19"/>
        <v>1.7957445144127413</v>
      </c>
      <c r="K108" s="8">
        <f t="shared" ca="1" si="14"/>
        <v>7.8014733740816364</v>
      </c>
      <c r="L108" s="8">
        <f t="shared" ca="1" si="20"/>
        <v>1.8731069948179777</v>
      </c>
    </row>
    <row r="109" spans="1:12" x14ac:dyDescent="0.4">
      <c r="A109" s="5">
        <v>97</v>
      </c>
      <c r="B109" s="4">
        <f t="shared" si="15"/>
        <v>9.7000000000000011</v>
      </c>
      <c r="C109" s="4">
        <v>12</v>
      </c>
      <c r="D109" s="8">
        <f t="shared" ca="1" si="13"/>
        <v>12.011004244014538</v>
      </c>
      <c r="E109" s="4">
        <f t="shared" ca="1" si="16"/>
        <v>0.20426618401531371</v>
      </c>
      <c r="F109" s="4">
        <f t="shared" ca="1" si="21"/>
        <v>1.8271646784007558</v>
      </c>
      <c r="G109" s="4">
        <f t="shared" ca="1" si="21"/>
        <v>8.0138345910074538</v>
      </c>
      <c r="H109" s="8">
        <f t="shared" ca="1" si="12"/>
        <v>8.0155887392097291</v>
      </c>
      <c r="I109" s="4">
        <f t="shared" ca="1" si="18"/>
        <v>7.9501028333608161</v>
      </c>
      <c r="J109" s="4">
        <f t="shared" si="19"/>
        <v>1.8161700629714672</v>
      </c>
      <c r="K109" s="8">
        <f t="shared" ca="1" si="14"/>
        <v>7.9828457862852726</v>
      </c>
      <c r="L109" s="8">
        <f t="shared" ca="1" si="20"/>
        <v>1.8816559688203802</v>
      </c>
    </row>
    <row r="110" spans="1:12" x14ac:dyDescent="0.4">
      <c r="A110" s="5">
        <v>98</v>
      </c>
      <c r="B110" s="4">
        <f t="shared" si="15"/>
        <v>9.8000000000000007</v>
      </c>
      <c r="C110" s="4">
        <v>12</v>
      </c>
      <c r="D110" s="8">
        <f t="shared" ca="1" si="13"/>
        <v>12.130448785971518</v>
      </c>
      <c r="E110" s="4">
        <f t="shared" ca="1" si="16"/>
        <v>0.30328410757076263</v>
      </c>
      <c r="F110" s="4">
        <f t="shared" ref="F110:G112" ca="1" si="22">F109+E110*$E$2</f>
        <v>1.8574930891578321</v>
      </c>
      <c r="G110" s="4">
        <f t="shared" ca="1" si="22"/>
        <v>8.1995838999232369</v>
      </c>
      <c r="H110" s="8">
        <f t="shared" ca="1" si="12"/>
        <v>8.1941816444870668</v>
      </c>
      <c r="I110" s="4">
        <f t="shared" ca="1" si="18"/>
        <v>8.1382684302428547</v>
      </c>
      <c r="J110" s="4">
        <f t="shared" si="19"/>
        <v>1.8345530566743204</v>
      </c>
      <c r="K110" s="8">
        <f t="shared" ca="1" si="14"/>
        <v>8.1662250373649599</v>
      </c>
      <c r="L110" s="8">
        <f t="shared" ca="1" si="20"/>
        <v>1.8904662709185325</v>
      </c>
    </row>
    <row r="111" spans="1:12" x14ac:dyDescent="0.4">
      <c r="A111" s="5">
        <v>99</v>
      </c>
      <c r="B111" s="4">
        <f t="shared" si="15"/>
        <v>9.9</v>
      </c>
      <c r="C111" s="4">
        <v>12</v>
      </c>
      <c r="D111" s="8">
        <f t="shared" ca="1" si="13"/>
        <v>12.007188480699849</v>
      </c>
      <c r="E111" s="4">
        <f t="shared" ca="1" si="16"/>
        <v>0.14969539154201694</v>
      </c>
      <c r="F111" s="4">
        <f t="shared" ca="1" si="22"/>
        <v>1.8724626283120338</v>
      </c>
      <c r="G111" s="4">
        <f t="shared" ca="1" si="22"/>
        <v>8.3868301627544408</v>
      </c>
      <c r="H111" s="8">
        <f t="shared" ca="1" si="12"/>
        <v>8.3823829112002795</v>
      </c>
      <c r="I111" s="4">
        <f t="shared" ca="1" si="18"/>
        <v>8.3273150573347081</v>
      </c>
      <c r="J111" s="4">
        <f t="shared" si="19"/>
        <v>1.8510977510068884</v>
      </c>
      <c r="K111" s="8">
        <f t="shared" ca="1" si="14"/>
        <v>8.3548489842674947</v>
      </c>
      <c r="L111" s="8">
        <f t="shared" ca="1" si="20"/>
        <v>1.9061656048724598</v>
      </c>
    </row>
    <row r="112" spans="1:12" x14ac:dyDescent="0.4">
      <c r="A112" s="5">
        <v>100</v>
      </c>
      <c r="B112" s="4">
        <f t="shared" si="15"/>
        <v>10</v>
      </c>
      <c r="C112" s="4">
        <v>12</v>
      </c>
      <c r="D112" s="8">
        <f t="shared" ca="1" si="13"/>
        <v>12.08790599879762</v>
      </c>
      <c r="E112" s="4">
        <f t="shared" ca="1" si="16"/>
        <v>0.21544337048558604</v>
      </c>
      <c r="F112" s="4">
        <f t="shared" ca="1" si="22"/>
        <v>1.8940069653605924</v>
      </c>
      <c r="G112" s="4">
        <f t="shared" ca="1" si="22"/>
        <v>8.5762308592905008</v>
      </c>
      <c r="H112" s="8">
        <f t="shared" ca="1" si="12"/>
        <v>8.5601670511447718</v>
      </c>
      <c r="I112" s="4">
        <f t="shared" ca="1" si="18"/>
        <v>8.5179316178219544</v>
      </c>
      <c r="J112" s="4">
        <f t="shared" si="19"/>
        <v>1.8659879759061997</v>
      </c>
      <c r="K112" s="8">
        <f t="shared" ca="1" si="14"/>
        <v>8.5390493344833622</v>
      </c>
      <c r="L112" s="8">
        <f t="shared" ca="1" si="20"/>
        <v>1.9082234092290171</v>
      </c>
    </row>
    <row r="113" spans="8:8" x14ac:dyDescent="0.4">
      <c r="H113" s="8"/>
    </row>
  </sheetData>
  <mergeCells count="4">
    <mergeCell ref="A1:A2"/>
    <mergeCell ref="A3:A4"/>
    <mergeCell ref="A5:A6"/>
    <mergeCell ref="A7:A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恒力</vt:lpstr>
      <vt:lpstr>正弦力</vt:lpstr>
      <vt:lpstr>方波力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Lenovo</cp:lastModifiedBy>
  <dcterms:created xsi:type="dcterms:W3CDTF">2023-07-01T10:34:14Z</dcterms:created>
  <dcterms:modified xsi:type="dcterms:W3CDTF">2026-03-01T13:33:34Z</dcterms:modified>
</cp:coreProperties>
</file>
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2_electrical_plus\03_observer\02_luenberger\"/>
    </mc:Choice>
  </mc:AlternateContent>
  <xr:revisionPtr revIDLastSave="0" documentId="13_ncr:1_{41F9085E-F887-4A08-B804-E6DBDE3263BC}" xr6:coauthVersionLast="47" xr6:coauthVersionMax="47" xr10:uidLastSave="{00000000-0000-0000-0000-000000000000}"/>
  <bookViews>
    <workbookView xWindow="-110" yWindow="-110" windowWidth="25820" windowHeight="15500" activeTab="1" xr2:uid="{F7F14C6F-7D20-44F5-8411-8EC3D5E5EF3C}"/>
  </bookViews>
  <sheets>
    <sheet name="恒力" sheetId="1" r:id="rId1"/>
    <sheet name="正弦力" sheetId="4" r:id="rId2"/>
    <sheet name="方波力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J14" i="1"/>
  <c r="D12" i="1"/>
  <c r="E12" i="1" s="1"/>
  <c r="J14" i="5"/>
  <c r="J13" i="5"/>
  <c r="H12" i="5"/>
  <c r="I12" i="5" s="1"/>
  <c r="G12" i="5"/>
  <c r="F12" i="5"/>
  <c r="J16" i="1"/>
  <c r="J13" i="1"/>
  <c r="G12" i="1"/>
  <c r="F12" i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3" i="4"/>
  <c r="B112" i="5"/>
  <c r="D112" i="5" s="1"/>
  <c r="B111" i="5"/>
  <c r="D111" i="5" s="1"/>
  <c r="B110" i="5"/>
  <c r="D110" i="5" s="1"/>
  <c r="B109" i="5"/>
  <c r="D109" i="5" s="1"/>
  <c r="B108" i="5"/>
  <c r="D108" i="5" s="1"/>
  <c r="D107" i="5"/>
  <c r="B107" i="5"/>
  <c r="B106" i="5"/>
  <c r="D106" i="5" s="1"/>
  <c r="B105" i="5"/>
  <c r="D105" i="5" s="1"/>
  <c r="B104" i="5"/>
  <c r="D104" i="5" s="1"/>
  <c r="B103" i="5"/>
  <c r="D103" i="5" s="1"/>
  <c r="D102" i="5"/>
  <c r="B102" i="5"/>
  <c r="B101" i="5"/>
  <c r="D101" i="5" s="1"/>
  <c r="B100" i="5"/>
  <c r="D100" i="5" s="1"/>
  <c r="D99" i="5"/>
  <c r="B99" i="5"/>
  <c r="D98" i="5"/>
  <c r="B98" i="5"/>
  <c r="B97" i="5"/>
  <c r="D97" i="5" s="1"/>
  <c r="B96" i="5"/>
  <c r="D96" i="5" s="1"/>
  <c r="B95" i="5"/>
  <c r="D95" i="5" s="1"/>
  <c r="B94" i="5"/>
  <c r="D94" i="5" s="1"/>
  <c r="B93" i="5"/>
  <c r="D93" i="5" s="1"/>
  <c r="B92" i="5"/>
  <c r="D92" i="5" s="1"/>
  <c r="B91" i="5"/>
  <c r="D91" i="5" s="1"/>
  <c r="B90" i="5"/>
  <c r="D90" i="5" s="1"/>
  <c r="D89" i="5"/>
  <c r="B89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2" i="5"/>
  <c r="D82" i="5" s="1"/>
  <c r="B81" i="5"/>
  <c r="D81" i="5" s="1"/>
  <c r="B80" i="5"/>
  <c r="D80" i="5" s="1"/>
  <c r="B79" i="5"/>
  <c r="D79" i="5" s="1"/>
  <c r="D78" i="5"/>
  <c r="B78" i="5"/>
  <c r="B77" i="5"/>
  <c r="D77" i="5" s="1"/>
  <c r="B76" i="5"/>
  <c r="D76" i="5" s="1"/>
  <c r="D75" i="5"/>
  <c r="B75" i="5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D68" i="5"/>
  <c r="B68" i="5"/>
  <c r="B67" i="5"/>
  <c r="D67" i="5" s="1"/>
  <c r="D66" i="5"/>
  <c r="B66" i="5"/>
  <c r="B65" i="5"/>
  <c r="D65" i="5" s="1"/>
  <c r="B64" i="5"/>
  <c r="D64" i="5" s="1"/>
  <c r="B63" i="5"/>
  <c r="D63" i="5" s="1"/>
  <c r="B62" i="5"/>
  <c r="D62" i="5" s="1"/>
  <c r="B61" i="5"/>
  <c r="D61" i="5" s="1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4" i="5"/>
  <c r="B54" i="5"/>
  <c r="D53" i="5"/>
  <c r="B53" i="5"/>
  <c r="D52" i="5"/>
  <c r="B52" i="5"/>
  <c r="B51" i="5"/>
  <c r="D51" i="5" s="1"/>
  <c r="B50" i="5"/>
  <c r="D50" i="5" s="1"/>
  <c r="B49" i="5"/>
  <c r="D49" i="5" s="1"/>
  <c r="B48" i="5"/>
  <c r="D48" i="5" s="1"/>
  <c r="B47" i="5"/>
  <c r="D47" i="5" s="1"/>
  <c r="B46" i="5"/>
  <c r="D46" i="5" s="1"/>
  <c r="B45" i="5"/>
  <c r="D45" i="5" s="1"/>
  <c r="B44" i="5"/>
  <c r="D44" i="5" s="1"/>
  <c r="D43" i="5"/>
  <c r="B43" i="5"/>
  <c r="B42" i="5"/>
  <c r="D42" i="5" s="1"/>
  <c r="B41" i="5"/>
  <c r="D41" i="5" s="1"/>
  <c r="D40" i="5"/>
  <c r="B40" i="5"/>
  <c r="B39" i="5"/>
  <c r="D39" i="5" s="1"/>
  <c r="D38" i="5"/>
  <c r="B38" i="5"/>
  <c r="D37" i="5"/>
  <c r="B37" i="5"/>
  <c r="B36" i="5"/>
  <c r="D36" i="5" s="1"/>
  <c r="B35" i="5"/>
  <c r="D35" i="5" s="1"/>
  <c r="B34" i="5"/>
  <c r="D34" i="5" s="1"/>
  <c r="B33" i="5"/>
  <c r="D33" i="5" s="1"/>
  <c r="B32" i="5"/>
  <c r="D32" i="5" s="1"/>
  <c r="D31" i="5"/>
  <c r="B31" i="5"/>
  <c r="D30" i="5"/>
  <c r="B30" i="5"/>
  <c r="B29" i="5"/>
  <c r="D29" i="5" s="1"/>
  <c r="B28" i="5"/>
  <c r="D28" i="5" s="1"/>
  <c r="B27" i="5"/>
  <c r="D27" i="5" s="1"/>
  <c r="B26" i="5"/>
  <c r="D26" i="5" s="1"/>
  <c r="B25" i="5"/>
  <c r="D25" i="5" s="1"/>
  <c r="B24" i="5"/>
  <c r="D24" i="5" s="1"/>
  <c r="B23" i="5"/>
  <c r="D23" i="5" s="1"/>
  <c r="B22" i="5"/>
  <c r="D22" i="5" s="1"/>
  <c r="B21" i="5"/>
  <c r="D21" i="5" s="1"/>
  <c r="B20" i="5"/>
  <c r="D20" i="5" s="1"/>
  <c r="D19" i="5"/>
  <c r="B19" i="5"/>
  <c r="D18" i="5"/>
  <c r="B18" i="5"/>
  <c r="D17" i="5"/>
  <c r="B17" i="5"/>
  <c r="B16" i="5"/>
  <c r="D16" i="5" s="1"/>
  <c r="B15" i="5"/>
  <c r="D15" i="5" s="1"/>
  <c r="B14" i="5"/>
  <c r="D14" i="5" s="1"/>
  <c r="B13" i="5"/>
  <c r="D13" i="5" s="1"/>
  <c r="E13" i="5" s="1"/>
  <c r="F13" i="5" s="1"/>
  <c r="D12" i="5"/>
  <c r="E12" i="5" s="1"/>
  <c r="C13" i="4"/>
  <c r="D13" i="4" s="1"/>
  <c r="E13" i="4" s="1"/>
  <c r="C14" i="4"/>
  <c r="C15" i="4"/>
  <c r="C16" i="4"/>
  <c r="C17" i="4"/>
  <c r="C18" i="4"/>
  <c r="D18" i="4" s="1"/>
  <c r="C19" i="4"/>
  <c r="C20" i="4"/>
  <c r="C21" i="4"/>
  <c r="C22" i="4"/>
  <c r="C23" i="4"/>
  <c r="C24" i="4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C39" i="4"/>
  <c r="C40" i="4"/>
  <c r="C41" i="4"/>
  <c r="C42" i="4"/>
  <c r="C43" i="4"/>
  <c r="C44" i="4"/>
  <c r="C45" i="4"/>
  <c r="C46" i="4"/>
  <c r="D46" i="4" s="1"/>
  <c r="C47" i="4"/>
  <c r="D47" i="4" s="1"/>
  <c r="C48" i="4"/>
  <c r="D48" i="4" s="1"/>
  <c r="C49" i="4"/>
  <c r="C50" i="4"/>
  <c r="C51" i="4"/>
  <c r="C52" i="4"/>
  <c r="C53" i="4"/>
  <c r="C54" i="4"/>
  <c r="C55" i="4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C63" i="4"/>
  <c r="C64" i="4"/>
  <c r="C65" i="4"/>
  <c r="C66" i="4"/>
  <c r="D66" i="4" s="1"/>
  <c r="C67" i="4"/>
  <c r="C68" i="4"/>
  <c r="C69" i="4"/>
  <c r="C70" i="4"/>
  <c r="C71" i="4"/>
  <c r="C72" i="4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C87" i="4"/>
  <c r="C88" i="4"/>
  <c r="C89" i="4"/>
  <c r="C90" i="4"/>
  <c r="C91" i="4"/>
  <c r="C92" i="4"/>
  <c r="C93" i="4"/>
  <c r="C94" i="4"/>
  <c r="D94" i="4" s="1"/>
  <c r="C95" i="4"/>
  <c r="D95" i="4" s="1"/>
  <c r="C96" i="4"/>
  <c r="D96" i="4" s="1"/>
  <c r="C97" i="4"/>
  <c r="C98" i="4"/>
  <c r="C99" i="4"/>
  <c r="C100" i="4"/>
  <c r="C101" i="4"/>
  <c r="C102" i="4"/>
  <c r="C103" i="4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C111" i="4"/>
  <c r="C112" i="4"/>
  <c r="C12" i="4"/>
  <c r="D14" i="4"/>
  <c r="D17" i="4"/>
  <c r="D38" i="4"/>
  <c r="D41" i="4"/>
  <c r="D49" i="4"/>
  <c r="D50" i="4"/>
  <c r="D51" i="4"/>
  <c r="D52" i="4"/>
  <c r="D53" i="4"/>
  <c r="D62" i="4"/>
  <c r="D65" i="4"/>
  <c r="D86" i="4"/>
  <c r="D89" i="4"/>
  <c r="D97" i="4"/>
  <c r="D98" i="4"/>
  <c r="D99" i="4"/>
  <c r="D100" i="4"/>
  <c r="D101" i="4"/>
  <c r="D110" i="4"/>
  <c r="D112" i="4"/>
  <c r="B112" i="4"/>
  <c r="D111" i="4"/>
  <c r="B111" i="4"/>
  <c r="B110" i="4"/>
  <c r="B109" i="4"/>
  <c r="B108" i="4"/>
  <c r="B107" i="4"/>
  <c r="B106" i="4"/>
  <c r="B105" i="4"/>
  <c r="B104" i="4"/>
  <c r="D103" i="4"/>
  <c r="B103" i="4"/>
  <c r="D102" i="4"/>
  <c r="B102" i="4"/>
  <c r="B101" i="4"/>
  <c r="B100" i="4"/>
  <c r="B99" i="4"/>
  <c r="B98" i="4"/>
  <c r="B97" i="4"/>
  <c r="B96" i="4"/>
  <c r="B95" i="4"/>
  <c r="B94" i="4"/>
  <c r="D93" i="4"/>
  <c r="B93" i="4"/>
  <c r="D92" i="4"/>
  <c r="B92" i="4"/>
  <c r="D91" i="4"/>
  <c r="B91" i="4"/>
  <c r="D90" i="4"/>
  <c r="B90" i="4"/>
  <c r="B89" i="4"/>
  <c r="D88" i="4"/>
  <c r="B88" i="4"/>
  <c r="D87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D72" i="4"/>
  <c r="B72" i="4"/>
  <c r="D71" i="4"/>
  <c r="B71" i="4"/>
  <c r="D70" i="4"/>
  <c r="B70" i="4"/>
  <c r="D69" i="4"/>
  <c r="B69" i="4"/>
  <c r="D68" i="4"/>
  <c r="B68" i="4"/>
  <c r="D67" i="4"/>
  <c r="B67" i="4"/>
  <c r="B66" i="4"/>
  <c r="B65" i="4"/>
  <c r="D64" i="4"/>
  <c r="B64" i="4"/>
  <c r="D63" i="4"/>
  <c r="B63" i="4"/>
  <c r="B62" i="4"/>
  <c r="B61" i="4"/>
  <c r="B60" i="4"/>
  <c r="B59" i="4"/>
  <c r="B58" i="4"/>
  <c r="B57" i="4"/>
  <c r="B56" i="4"/>
  <c r="D55" i="4"/>
  <c r="B55" i="4"/>
  <c r="D54" i="4"/>
  <c r="B54" i="4"/>
  <c r="B53" i="4"/>
  <c r="B52" i="4"/>
  <c r="B51" i="4"/>
  <c r="B50" i="4"/>
  <c r="B49" i="4"/>
  <c r="B48" i="4"/>
  <c r="B47" i="4"/>
  <c r="B46" i="4"/>
  <c r="D45" i="4"/>
  <c r="B45" i="4"/>
  <c r="D44" i="4"/>
  <c r="B44" i="4"/>
  <c r="D43" i="4"/>
  <c r="B43" i="4"/>
  <c r="D42" i="4"/>
  <c r="B42" i="4"/>
  <c r="B41" i="4"/>
  <c r="D40" i="4"/>
  <c r="B40" i="4"/>
  <c r="D39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D24" i="4"/>
  <c r="B24" i="4"/>
  <c r="D23" i="4"/>
  <c r="B23" i="4"/>
  <c r="D22" i="4"/>
  <c r="B22" i="4"/>
  <c r="D21" i="4"/>
  <c r="B21" i="4"/>
  <c r="D20" i="4"/>
  <c r="B20" i="4"/>
  <c r="D19" i="4"/>
  <c r="B19" i="4"/>
  <c r="B18" i="4"/>
  <c r="B17" i="4"/>
  <c r="D16" i="4"/>
  <c r="B16" i="4"/>
  <c r="D15" i="4"/>
  <c r="B15" i="4"/>
  <c r="B14" i="4"/>
  <c r="B13" i="4"/>
  <c r="G12" i="4"/>
  <c r="F12" i="4"/>
  <c r="G13" i="5" l="1"/>
  <c r="K12" i="5"/>
  <c r="L12" i="5"/>
  <c r="I13" i="5" s="1"/>
  <c r="J15" i="5"/>
  <c r="E14" i="5"/>
  <c r="F14" i="5" s="1"/>
  <c r="J17" i="1"/>
  <c r="H12" i="1"/>
  <c r="D12" i="4"/>
  <c r="E12" i="4" s="1"/>
  <c r="H12" i="4"/>
  <c r="F13" i="4"/>
  <c r="E15" i="5" l="1"/>
  <c r="F15" i="5" s="1"/>
  <c r="J16" i="5"/>
  <c r="G14" i="5"/>
  <c r="H13" i="5"/>
  <c r="L13" i="5" s="1"/>
  <c r="I14" i="5" s="1"/>
  <c r="I12" i="1"/>
  <c r="L12" i="1" s="1"/>
  <c r="J18" i="1"/>
  <c r="G13" i="4"/>
  <c r="I12" i="4"/>
  <c r="E14" i="4"/>
  <c r="F14" i="4" s="1"/>
  <c r="E16" i="5" l="1"/>
  <c r="F16" i="5" s="1"/>
  <c r="G15" i="5"/>
  <c r="H14" i="5"/>
  <c r="L14" i="5" s="1"/>
  <c r="I15" i="5" s="1"/>
  <c r="K13" i="5"/>
  <c r="J17" i="5"/>
  <c r="J19" i="1"/>
  <c r="I13" i="1"/>
  <c r="K12" i="1"/>
  <c r="E15" i="4"/>
  <c r="F15" i="4" s="1"/>
  <c r="G14" i="4"/>
  <c r="H13" i="4"/>
  <c r="K12" i="4"/>
  <c r="L12" i="4"/>
  <c r="D13" i="1"/>
  <c r="E13" i="1" s="1"/>
  <c r="F13" i="1" s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E14" i="1" l="1"/>
  <c r="F14" i="1" s="1"/>
  <c r="K14" i="5"/>
  <c r="E17" i="5"/>
  <c r="F17" i="5" s="1"/>
  <c r="J18" i="5"/>
  <c r="G16" i="5"/>
  <c r="H15" i="5"/>
  <c r="L15" i="5" s="1"/>
  <c r="I16" i="5" s="1"/>
  <c r="G13" i="1"/>
  <c r="H13" i="1" s="1"/>
  <c r="J20" i="1"/>
  <c r="I13" i="4"/>
  <c r="L13" i="4" s="1"/>
  <c r="E16" i="4"/>
  <c r="F16" i="4" s="1"/>
  <c r="H14" i="4"/>
  <c r="G15" i="4"/>
  <c r="E18" i="5" l="1"/>
  <c r="F18" i="5" s="1"/>
  <c r="G17" i="5"/>
  <c r="H16" i="5"/>
  <c r="L16" i="5" s="1"/>
  <c r="I17" i="5" s="1"/>
  <c r="J19" i="5"/>
  <c r="K15" i="5"/>
  <c r="G14" i="1"/>
  <c r="J21" i="1"/>
  <c r="E15" i="1"/>
  <c r="F15" i="1" s="1"/>
  <c r="K13" i="4"/>
  <c r="I14" i="4"/>
  <c r="L14" i="4" s="1"/>
  <c r="E17" i="4"/>
  <c r="F17" i="4" s="1"/>
  <c r="G16" i="4"/>
  <c r="H15" i="4"/>
  <c r="E19" i="5" l="1"/>
  <c r="F19" i="5" s="1"/>
  <c r="J20" i="5"/>
  <c r="H17" i="5"/>
  <c r="L17" i="5" s="1"/>
  <c r="I18" i="5" s="1"/>
  <c r="G18" i="5"/>
  <c r="K16" i="5"/>
  <c r="E16" i="1"/>
  <c r="F16" i="1" s="1"/>
  <c r="G15" i="1"/>
  <c r="H14" i="1"/>
  <c r="J22" i="1"/>
  <c r="L13" i="1"/>
  <c r="I14" i="1" s="1"/>
  <c r="K13" i="1"/>
  <c r="K14" i="4"/>
  <c r="I15" i="4"/>
  <c r="L15" i="4" s="1"/>
  <c r="E18" i="4"/>
  <c r="F18" i="4" s="1"/>
  <c r="H16" i="4"/>
  <c r="G17" i="4"/>
  <c r="L14" i="1" l="1"/>
  <c r="I15" i="1" s="1"/>
  <c r="G19" i="5"/>
  <c r="H18" i="5"/>
  <c r="L18" i="5" s="1"/>
  <c r="I19" i="5" s="1"/>
  <c r="J21" i="5"/>
  <c r="K17" i="5"/>
  <c r="E20" i="5"/>
  <c r="F20" i="5" s="1"/>
  <c r="E17" i="1"/>
  <c r="F17" i="1" s="1"/>
  <c r="K14" i="1"/>
  <c r="J23" i="1"/>
  <c r="H15" i="1"/>
  <c r="G16" i="1"/>
  <c r="K15" i="4"/>
  <c r="I16" i="4"/>
  <c r="L16" i="4" s="1"/>
  <c r="E19" i="4"/>
  <c r="F19" i="4" s="1"/>
  <c r="H17" i="4"/>
  <c r="G18" i="4"/>
  <c r="K16" i="4" l="1"/>
  <c r="L15" i="1"/>
  <c r="I16" i="1" s="1"/>
  <c r="E21" i="5"/>
  <c r="F21" i="5" s="1"/>
  <c r="J22" i="5"/>
  <c r="H19" i="5"/>
  <c r="L19" i="5" s="1"/>
  <c r="I20" i="5" s="1"/>
  <c r="G20" i="5"/>
  <c r="K18" i="5"/>
  <c r="E18" i="1"/>
  <c r="F18" i="1" s="1"/>
  <c r="G17" i="1"/>
  <c r="H16" i="1"/>
  <c r="J24" i="1"/>
  <c r="K15" i="1"/>
  <c r="I17" i="4"/>
  <c r="L17" i="4" s="1"/>
  <c r="E20" i="4"/>
  <c r="F20" i="4" s="1"/>
  <c r="H18" i="4"/>
  <c r="G19" i="4"/>
  <c r="E22" i="5" l="1"/>
  <c r="F22" i="5" s="1"/>
  <c r="H20" i="5"/>
  <c r="L20" i="5" s="1"/>
  <c r="I21" i="5" s="1"/>
  <c r="G21" i="5"/>
  <c r="J23" i="5"/>
  <c r="K19" i="5"/>
  <c r="E19" i="1"/>
  <c r="F19" i="1" s="1"/>
  <c r="J25" i="1"/>
  <c r="K16" i="1"/>
  <c r="L16" i="1"/>
  <c r="I17" i="1" s="1"/>
  <c r="G18" i="1"/>
  <c r="H17" i="1"/>
  <c r="K17" i="4"/>
  <c r="I18" i="4"/>
  <c r="L18" i="4" s="1"/>
  <c r="E21" i="4"/>
  <c r="F21" i="4" s="1"/>
  <c r="G20" i="4"/>
  <c r="H19" i="4"/>
  <c r="K18" i="4" l="1"/>
  <c r="E23" i="5"/>
  <c r="F23" i="5" s="1"/>
  <c r="J24" i="5"/>
  <c r="H21" i="5"/>
  <c r="L21" i="5" s="1"/>
  <c r="I22" i="5" s="1"/>
  <c r="G22" i="5"/>
  <c r="K20" i="5"/>
  <c r="K17" i="1"/>
  <c r="E20" i="1"/>
  <c r="F20" i="1" s="1"/>
  <c r="L17" i="1"/>
  <c r="I18" i="1" s="1"/>
  <c r="H18" i="1"/>
  <c r="G19" i="1"/>
  <c r="J26" i="1"/>
  <c r="I19" i="4"/>
  <c r="L19" i="4" s="1"/>
  <c r="E22" i="4"/>
  <c r="F22" i="4" s="1"/>
  <c r="G21" i="4"/>
  <c r="H20" i="4"/>
  <c r="E24" i="5" l="1"/>
  <c r="F24" i="5" s="1"/>
  <c r="H22" i="5"/>
  <c r="L22" i="5" s="1"/>
  <c r="I23" i="5" s="1"/>
  <c r="G23" i="5"/>
  <c r="J25" i="5"/>
  <c r="K21" i="5"/>
  <c r="K18" i="1"/>
  <c r="E21" i="1"/>
  <c r="F21" i="1" s="1"/>
  <c r="H19" i="1"/>
  <c r="G20" i="1"/>
  <c r="J27" i="1"/>
  <c r="L18" i="1"/>
  <c r="I19" i="1" s="1"/>
  <c r="K19" i="4"/>
  <c r="I20" i="4"/>
  <c r="L20" i="4" s="1"/>
  <c r="E23" i="4"/>
  <c r="F23" i="4" s="1"/>
  <c r="H21" i="4"/>
  <c r="G22" i="4"/>
  <c r="K20" i="4" l="1"/>
  <c r="E25" i="5"/>
  <c r="F25" i="5" s="1"/>
  <c r="J26" i="5"/>
  <c r="G24" i="5"/>
  <c r="H23" i="5"/>
  <c r="L23" i="5" s="1"/>
  <c r="I24" i="5" s="1"/>
  <c r="K22" i="5"/>
  <c r="K19" i="1"/>
  <c r="E22" i="1"/>
  <c r="F22" i="1" s="1"/>
  <c r="L19" i="1"/>
  <c r="I20" i="1" s="1"/>
  <c r="J28" i="1"/>
  <c r="H20" i="1"/>
  <c r="G21" i="1"/>
  <c r="I21" i="4"/>
  <c r="L21" i="4" s="1"/>
  <c r="E24" i="4"/>
  <c r="F24" i="4" s="1"/>
  <c r="G23" i="4"/>
  <c r="H22" i="4"/>
  <c r="K21" i="4"/>
  <c r="E26" i="5" l="1"/>
  <c r="F26" i="5" s="1"/>
  <c r="H24" i="5"/>
  <c r="L24" i="5" s="1"/>
  <c r="I25" i="5" s="1"/>
  <c r="G25" i="5"/>
  <c r="K23" i="5"/>
  <c r="J27" i="5"/>
  <c r="K20" i="1"/>
  <c r="E23" i="1"/>
  <c r="F23" i="1" s="1"/>
  <c r="L20" i="1"/>
  <c r="I21" i="1" s="1"/>
  <c r="H21" i="1"/>
  <c r="G22" i="1"/>
  <c r="J29" i="1"/>
  <c r="I22" i="4"/>
  <c r="L22" i="4" s="1"/>
  <c r="H23" i="4"/>
  <c r="G24" i="4"/>
  <c r="E25" i="4"/>
  <c r="F25" i="4" s="1"/>
  <c r="K22" i="4" l="1"/>
  <c r="E27" i="5"/>
  <c r="F27" i="5" s="1"/>
  <c r="J28" i="5"/>
  <c r="G26" i="5"/>
  <c r="H25" i="5"/>
  <c r="L25" i="5" s="1"/>
  <c r="I26" i="5" s="1"/>
  <c r="K24" i="5"/>
  <c r="K21" i="1"/>
  <c r="E24" i="1"/>
  <c r="F24" i="1" s="1"/>
  <c r="J30" i="1"/>
  <c r="G23" i="1"/>
  <c r="H22" i="1"/>
  <c r="L21" i="1"/>
  <c r="I22" i="1" s="1"/>
  <c r="I23" i="4"/>
  <c r="L23" i="4" s="1"/>
  <c r="E26" i="4"/>
  <c r="F26" i="4" s="1"/>
  <c r="H24" i="4"/>
  <c r="G25" i="4"/>
  <c r="K23" i="4"/>
  <c r="E28" i="5" l="1"/>
  <c r="F28" i="5" s="1"/>
  <c r="G27" i="5"/>
  <c r="H26" i="5"/>
  <c r="L26" i="5" s="1"/>
  <c r="I27" i="5" s="1"/>
  <c r="J29" i="5"/>
  <c r="K25" i="5"/>
  <c r="K22" i="1"/>
  <c r="E25" i="1"/>
  <c r="F25" i="1" s="1"/>
  <c r="J31" i="1"/>
  <c r="L22" i="1"/>
  <c r="I23" i="1" s="1"/>
  <c r="G24" i="1"/>
  <c r="H23" i="1"/>
  <c r="I24" i="4"/>
  <c r="L24" i="4" s="1"/>
  <c r="E27" i="4"/>
  <c r="F27" i="4" s="1"/>
  <c r="G26" i="4"/>
  <c r="H25" i="4"/>
  <c r="K24" i="4" l="1"/>
  <c r="E29" i="5"/>
  <c r="F29" i="5" s="1"/>
  <c r="J30" i="5"/>
  <c r="H27" i="5"/>
  <c r="L27" i="5" s="1"/>
  <c r="I28" i="5" s="1"/>
  <c r="G28" i="5"/>
  <c r="K26" i="5"/>
  <c r="K23" i="1"/>
  <c r="E26" i="1"/>
  <c r="F26" i="1" s="1"/>
  <c r="L23" i="1"/>
  <c r="I24" i="1" s="1"/>
  <c r="G25" i="1"/>
  <c r="H24" i="1"/>
  <c r="J32" i="1"/>
  <c r="I25" i="4"/>
  <c r="L25" i="4" s="1"/>
  <c r="E28" i="4"/>
  <c r="F28" i="4" s="1"/>
  <c r="H26" i="4"/>
  <c r="G27" i="4"/>
  <c r="K25" i="4" l="1"/>
  <c r="E30" i="5"/>
  <c r="F30" i="5" s="1"/>
  <c r="G29" i="5"/>
  <c r="H28" i="5"/>
  <c r="L28" i="5" s="1"/>
  <c r="I29" i="5" s="1"/>
  <c r="J31" i="5"/>
  <c r="K27" i="5"/>
  <c r="K24" i="1"/>
  <c r="E27" i="1"/>
  <c r="F27" i="1" s="1"/>
  <c r="J33" i="1"/>
  <c r="H25" i="1"/>
  <c r="G26" i="1"/>
  <c r="L24" i="1"/>
  <c r="I25" i="1" s="1"/>
  <c r="I26" i="4"/>
  <c r="L26" i="4" s="1"/>
  <c r="E29" i="4"/>
  <c r="F29" i="4" s="1"/>
  <c r="G28" i="4"/>
  <c r="H27" i="4"/>
  <c r="K26" i="4"/>
  <c r="E31" i="5" l="1"/>
  <c r="F31" i="5" s="1"/>
  <c r="J32" i="5"/>
  <c r="G30" i="5"/>
  <c r="H29" i="5"/>
  <c r="L29" i="5" s="1"/>
  <c r="I30" i="5" s="1"/>
  <c r="K28" i="5"/>
  <c r="K25" i="1"/>
  <c r="E28" i="1"/>
  <c r="F28" i="1" s="1"/>
  <c r="G27" i="1"/>
  <c r="H26" i="1"/>
  <c r="J34" i="1"/>
  <c r="L25" i="1"/>
  <c r="I26" i="1" s="1"/>
  <c r="I27" i="4"/>
  <c r="L27" i="4" s="1"/>
  <c r="E30" i="4"/>
  <c r="F30" i="4" s="1"/>
  <c r="H28" i="4"/>
  <c r="G29" i="4"/>
  <c r="K27" i="4" l="1"/>
  <c r="E32" i="5"/>
  <c r="F32" i="5" s="1"/>
  <c r="H30" i="5"/>
  <c r="L30" i="5" s="1"/>
  <c r="I31" i="5" s="1"/>
  <c r="G31" i="5"/>
  <c r="J33" i="5"/>
  <c r="K29" i="5"/>
  <c r="K26" i="1"/>
  <c r="E29" i="1"/>
  <c r="F29" i="1" s="1"/>
  <c r="J35" i="1"/>
  <c r="L26" i="1"/>
  <c r="I27" i="1" s="1"/>
  <c r="G28" i="1"/>
  <c r="H27" i="1"/>
  <c r="I28" i="4"/>
  <c r="L28" i="4" s="1"/>
  <c r="E31" i="4"/>
  <c r="F31" i="4" s="1"/>
  <c r="G30" i="4"/>
  <c r="H29" i="4"/>
  <c r="K28" i="4"/>
  <c r="K30" i="5" l="1"/>
  <c r="J34" i="5"/>
  <c r="G32" i="5"/>
  <c r="H31" i="5"/>
  <c r="L31" i="5" s="1"/>
  <c r="I32" i="5" s="1"/>
  <c r="E33" i="5"/>
  <c r="F33" i="5" s="1"/>
  <c r="K27" i="1"/>
  <c r="E30" i="1"/>
  <c r="F30" i="1" s="1"/>
  <c r="L27" i="1"/>
  <c r="I28" i="1" s="1"/>
  <c r="G29" i="1"/>
  <c r="H28" i="1"/>
  <c r="J36" i="1"/>
  <c r="I29" i="4"/>
  <c r="L29" i="4" s="1"/>
  <c r="E32" i="4"/>
  <c r="F32" i="4" s="1"/>
  <c r="H30" i="4"/>
  <c r="G31" i="4"/>
  <c r="K29" i="4" l="1"/>
  <c r="E34" i="5"/>
  <c r="F34" i="5" s="1"/>
  <c r="H32" i="5"/>
  <c r="L32" i="5" s="1"/>
  <c r="I33" i="5" s="1"/>
  <c r="G33" i="5"/>
  <c r="J35" i="5"/>
  <c r="K31" i="5"/>
  <c r="K28" i="1"/>
  <c r="E31" i="1"/>
  <c r="F31" i="1" s="1"/>
  <c r="J37" i="1"/>
  <c r="L28" i="1"/>
  <c r="I29" i="1" s="1"/>
  <c r="G30" i="1"/>
  <c r="H29" i="1"/>
  <c r="I30" i="4"/>
  <c r="L30" i="4" s="1"/>
  <c r="E33" i="4"/>
  <c r="F33" i="4" s="1"/>
  <c r="H31" i="4"/>
  <c r="G32" i="4"/>
  <c r="K30" i="4"/>
  <c r="E35" i="5" l="1"/>
  <c r="F35" i="5" s="1"/>
  <c r="J36" i="5"/>
  <c r="G34" i="5"/>
  <c r="H33" i="5"/>
  <c r="L33" i="5" s="1"/>
  <c r="I34" i="5" s="1"/>
  <c r="K32" i="5"/>
  <c r="K29" i="1"/>
  <c r="E32" i="1"/>
  <c r="F32" i="1" s="1"/>
  <c r="L29" i="1"/>
  <c r="I30" i="1" s="1"/>
  <c r="G31" i="1"/>
  <c r="H30" i="1"/>
  <c r="J38" i="1"/>
  <c r="I31" i="4"/>
  <c r="L31" i="4" s="1"/>
  <c r="E34" i="4"/>
  <c r="F34" i="4" s="1"/>
  <c r="G33" i="4"/>
  <c r="H32" i="4"/>
  <c r="E36" i="5" l="1"/>
  <c r="F36" i="5" s="1"/>
  <c r="K31" i="4"/>
  <c r="J37" i="5"/>
  <c r="H34" i="5"/>
  <c r="L34" i="5" s="1"/>
  <c r="I35" i="5" s="1"/>
  <c r="G35" i="5"/>
  <c r="K33" i="5"/>
  <c r="K30" i="1"/>
  <c r="E33" i="1"/>
  <c r="F33" i="1" s="1"/>
  <c r="J39" i="1"/>
  <c r="L30" i="1"/>
  <c r="I31" i="1" s="1"/>
  <c r="G32" i="1"/>
  <c r="H31" i="1"/>
  <c r="I32" i="4"/>
  <c r="L32" i="4" s="1"/>
  <c r="E35" i="4"/>
  <c r="F35" i="4" s="1"/>
  <c r="H33" i="4"/>
  <c r="G34" i="4"/>
  <c r="K32" i="4"/>
  <c r="E37" i="5" l="1"/>
  <c r="F37" i="5" s="1"/>
  <c r="G36" i="5"/>
  <c r="H35" i="5"/>
  <c r="L35" i="5" s="1"/>
  <c r="I36" i="5" s="1"/>
  <c r="J38" i="5"/>
  <c r="K34" i="5"/>
  <c r="K31" i="1"/>
  <c r="E34" i="1"/>
  <c r="F34" i="1" s="1"/>
  <c r="H32" i="1"/>
  <c r="G33" i="1"/>
  <c r="L31" i="1"/>
  <c r="I32" i="1" s="1"/>
  <c r="J40" i="1"/>
  <c r="I33" i="4"/>
  <c r="L33" i="4" s="1"/>
  <c r="E36" i="4"/>
  <c r="F36" i="4" s="1"/>
  <c r="G35" i="4"/>
  <c r="H34" i="4"/>
  <c r="K33" i="4" l="1"/>
  <c r="E38" i="5"/>
  <c r="F38" i="5" s="1"/>
  <c r="G37" i="5"/>
  <c r="H36" i="5"/>
  <c r="L36" i="5" s="1"/>
  <c r="I37" i="5" s="1"/>
  <c r="J39" i="5"/>
  <c r="K35" i="5"/>
  <c r="K32" i="1"/>
  <c r="E35" i="1"/>
  <c r="F35" i="1" s="1"/>
  <c r="L32" i="1"/>
  <c r="I33" i="1" s="1"/>
  <c r="J41" i="1"/>
  <c r="G34" i="1"/>
  <c r="H33" i="1"/>
  <c r="I34" i="4"/>
  <c r="L34" i="4" s="1"/>
  <c r="H35" i="4"/>
  <c r="G36" i="4"/>
  <c r="E37" i="4"/>
  <c r="F37" i="4" s="1"/>
  <c r="K34" i="4" l="1"/>
  <c r="E39" i="5"/>
  <c r="F39" i="5" s="1"/>
  <c r="J40" i="5"/>
  <c r="G38" i="5"/>
  <c r="H37" i="5"/>
  <c r="L37" i="5" s="1"/>
  <c r="I38" i="5" s="1"/>
  <c r="K36" i="5"/>
  <c r="K33" i="1"/>
  <c r="E36" i="1"/>
  <c r="F36" i="1" s="1"/>
  <c r="L33" i="1"/>
  <c r="I34" i="1" s="1"/>
  <c r="G35" i="1"/>
  <c r="H34" i="1"/>
  <c r="J42" i="1"/>
  <c r="I35" i="4"/>
  <c r="L35" i="4" s="1"/>
  <c r="E38" i="4"/>
  <c r="F38" i="4" s="1"/>
  <c r="G37" i="4"/>
  <c r="H36" i="4"/>
  <c r="K35" i="4"/>
  <c r="E40" i="5" l="1"/>
  <c r="F40" i="5" s="1"/>
  <c r="H38" i="5"/>
  <c r="L38" i="5" s="1"/>
  <c r="I39" i="5" s="1"/>
  <c r="G39" i="5"/>
  <c r="J41" i="5"/>
  <c r="K37" i="5"/>
  <c r="K34" i="1"/>
  <c r="E37" i="1"/>
  <c r="F37" i="1" s="1"/>
  <c r="J43" i="1"/>
  <c r="L34" i="1"/>
  <c r="I35" i="1" s="1"/>
  <c r="H35" i="1"/>
  <c r="G36" i="1"/>
  <c r="I36" i="4"/>
  <c r="L36" i="4" s="1"/>
  <c r="E39" i="4"/>
  <c r="F39" i="4" s="1"/>
  <c r="G38" i="4"/>
  <c r="H37" i="4"/>
  <c r="J42" i="5" l="1"/>
  <c r="H39" i="5"/>
  <c r="L39" i="5" s="1"/>
  <c r="I40" i="5" s="1"/>
  <c r="G40" i="5"/>
  <c r="E41" i="5"/>
  <c r="F41" i="5" s="1"/>
  <c r="K38" i="5"/>
  <c r="K35" i="1"/>
  <c r="E38" i="1"/>
  <c r="F38" i="1" s="1"/>
  <c r="G37" i="1"/>
  <c r="H36" i="1"/>
  <c r="L35" i="1"/>
  <c r="I36" i="1" s="1"/>
  <c r="J44" i="1"/>
  <c r="K36" i="4"/>
  <c r="I37" i="4"/>
  <c r="L37" i="4" s="1"/>
  <c r="E40" i="4"/>
  <c r="F40" i="4" s="1"/>
  <c r="H38" i="4"/>
  <c r="G39" i="4"/>
  <c r="K37" i="4"/>
  <c r="E42" i="5" l="1"/>
  <c r="F42" i="5" s="1"/>
  <c r="G41" i="5"/>
  <c r="H40" i="5"/>
  <c r="L40" i="5" s="1"/>
  <c r="I41" i="5" s="1"/>
  <c r="J43" i="5"/>
  <c r="K39" i="5"/>
  <c r="K36" i="1"/>
  <c r="E39" i="1"/>
  <c r="F39" i="1" s="1"/>
  <c r="L36" i="1"/>
  <c r="I37" i="1" s="1"/>
  <c r="J45" i="1"/>
  <c r="H37" i="1"/>
  <c r="G38" i="1"/>
  <c r="I38" i="4"/>
  <c r="L38" i="4" s="1"/>
  <c r="E41" i="4"/>
  <c r="F41" i="4" s="1"/>
  <c r="G40" i="4"/>
  <c r="H39" i="4"/>
  <c r="K38" i="4"/>
  <c r="E43" i="5" l="1"/>
  <c r="F43" i="5" s="1"/>
  <c r="J44" i="5"/>
  <c r="H41" i="5"/>
  <c r="L41" i="5" s="1"/>
  <c r="I42" i="5" s="1"/>
  <c r="G42" i="5"/>
  <c r="K40" i="5"/>
  <c r="K37" i="1"/>
  <c r="E40" i="1"/>
  <c r="F40" i="1" s="1"/>
  <c r="G39" i="1"/>
  <c r="H38" i="1"/>
  <c r="L37" i="1"/>
  <c r="I38" i="1" s="1"/>
  <c r="J46" i="1"/>
  <c r="I39" i="4"/>
  <c r="L39" i="4" s="1"/>
  <c r="E42" i="4"/>
  <c r="F42" i="4" s="1"/>
  <c r="H40" i="4"/>
  <c r="G41" i="4"/>
  <c r="K39" i="4" l="1"/>
  <c r="E44" i="5"/>
  <c r="F44" i="5" s="1"/>
  <c r="H42" i="5"/>
  <c r="L42" i="5" s="1"/>
  <c r="I43" i="5" s="1"/>
  <c r="G43" i="5"/>
  <c r="J45" i="5"/>
  <c r="K41" i="5"/>
  <c r="K38" i="1"/>
  <c r="E41" i="1"/>
  <c r="F41" i="1" s="1"/>
  <c r="L38" i="1"/>
  <c r="I39" i="1" s="1"/>
  <c r="J47" i="1"/>
  <c r="H39" i="1"/>
  <c r="G40" i="1"/>
  <c r="I40" i="4"/>
  <c r="L40" i="4" s="1"/>
  <c r="E43" i="4"/>
  <c r="F43" i="4" s="1"/>
  <c r="G42" i="4"/>
  <c r="H41" i="4"/>
  <c r="K40" i="4"/>
  <c r="E45" i="5" l="1"/>
  <c r="F45" i="5" s="1"/>
  <c r="J46" i="5"/>
  <c r="G44" i="5"/>
  <c r="H43" i="5"/>
  <c r="L43" i="5" s="1"/>
  <c r="I44" i="5" s="1"/>
  <c r="K42" i="5"/>
  <c r="K39" i="1"/>
  <c r="E42" i="1"/>
  <c r="F42" i="1" s="1"/>
  <c r="G41" i="1"/>
  <c r="H40" i="1"/>
  <c r="J48" i="1"/>
  <c r="L39" i="1"/>
  <c r="I40" i="1" s="1"/>
  <c r="I41" i="4"/>
  <c r="L41" i="4" s="1"/>
  <c r="E44" i="4"/>
  <c r="F44" i="4" s="1"/>
  <c r="H42" i="4"/>
  <c r="G43" i="4"/>
  <c r="K41" i="4" l="1"/>
  <c r="E46" i="5"/>
  <c r="F46" i="5" s="1"/>
  <c r="J47" i="5"/>
  <c r="H44" i="5"/>
  <c r="L44" i="5" s="1"/>
  <c r="I45" i="5" s="1"/>
  <c r="G45" i="5"/>
  <c r="K43" i="5"/>
  <c r="K40" i="1"/>
  <c r="E43" i="1"/>
  <c r="F43" i="1" s="1"/>
  <c r="G42" i="1"/>
  <c r="H41" i="1"/>
  <c r="J49" i="1"/>
  <c r="L40" i="1"/>
  <c r="I41" i="1" s="1"/>
  <c r="I42" i="4"/>
  <c r="L42" i="4" s="1"/>
  <c r="E45" i="4"/>
  <c r="F45" i="4" s="1"/>
  <c r="H43" i="4"/>
  <c r="G44" i="4"/>
  <c r="K42" i="4" l="1"/>
  <c r="E47" i="5"/>
  <c r="F47" i="5" s="1"/>
  <c r="G46" i="5"/>
  <c r="H45" i="5"/>
  <c r="L45" i="5" s="1"/>
  <c r="I46" i="5" s="1"/>
  <c r="J48" i="5"/>
  <c r="K44" i="5"/>
  <c r="K41" i="1"/>
  <c r="E44" i="1"/>
  <c r="F44" i="1" s="1"/>
  <c r="J50" i="1"/>
  <c r="H42" i="1"/>
  <c r="G43" i="1"/>
  <c r="L41" i="1"/>
  <c r="I42" i="1" s="1"/>
  <c r="I43" i="4"/>
  <c r="L43" i="4" s="1"/>
  <c r="E46" i="4"/>
  <c r="F46" i="4" s="1"/>
  <c r="G45" i="4"/>
  <c r="H44" i="4"/>
  <c r="K43" i="4"/>
  <c r="E48" i="5" l="1"/>
  <c r="F48" i="5" s="1"/>
  <c r="J49" i="5"/>
  <c r="H46" i="5"/>
  <c r="L46" i="5" s="1"/>
  <c r="I47" i="5" s="1"/>
  <c r="G47" i="5"/>
  <c r="K45" i="5"/>
  <c r="K42" i="1"/>
  <c r="E45" i="1"/>
  <c r="F45" i="1" s="1"/>
  <c r="L42" i="1"/>
  <c r="I43" i="1" s="1"/>
  <c r="G44" i="1"/>
  <c r="H43" i="1"/>
  <c r="J51" i="1"/>
  <c r="I44" i="4"/>
  <c r="L44" i="4" s="1"/>
  <c r="E47" i="4"/>
  <c r="F47" i="4" s="1"/>
  <c r="H45" i="4"/>
  <c r="G46" i="4"/>
  <c r="K44" i="4" l="1"/>
  <c r="E49" i="5"/>
  <c r="F49" i="5" s="1"/>
  <c r="G48" i="5"/>
  <c r="H47" i="5"/>
  <c r="L47" i="5" s="1"/>
  <c r="I48" i="5" s="1"/>
  <c r="J50" i="5"/>
  <c r="K46" i="5"/>
  <c r="K43" i="1"/>
  <c r="E46" i="1"/>
  <c r="F46" i="1" s="1"/>
  <c r="J52" i="1"/>
  <c r="L43" i="1"/>
  <c r="I44" i="1" s="1"/>
  <c r="H44" i="1"/>
  <c r="G45" i="1"/>
  <c r="I45" i="4"/>
  <c r="L45" i="4" s="1"/>
  <c r="E48" i="4"/>
  <c r="F48" i="4" s="1"/>
  <c r="G47" i="4"/>
  <c r="H46" i="4"/>
  <c r="K45" i="4"/>
  <c r="E50" i="5" l="1"/>
  <c r="F50" i="5" s="1"/>
  <c r="J51" i="5"/>
  <c r="H48" i="5"/>
  <c r="L48" i="5" s="1"/>
  <c r="I49" i="5" s="1"/>
  <c r="G49" i="5"/>
  <c r="K47" i="5"/>
  <c r="K44" i="1"/>
  <c r="E47" i="1"/>
  <c r="F47" i="1" s="1"/>
  <c r="H45" i="1"/>
  <c r="G46" i="1"/>
  <c r="L44" i="1"/>
  <c r="I45" i="1" s="1"/>
  <c r="J53" i="1"/>
  <c r="I46" i="4"/>
  <c r="L46" i="4" s="1"/>
  <c r="H47" i="4"/>
  <c r="G48" i="4"/>
  <c r="E49" i="4"/>
  <c r="F49" i="4" s="1"/>
  <c r="K46" i="4" l="1"/>
  <c r="E51" i="5"/>
  <c r="F51" i="5" s="1"/>
  <c r="G50" i="5"/>
  <c r="H49" i="5"/>
  <c r="L49" i="5" s="1"/>
  <c r="I50" i="5" s="1"/>
  <c r="J52" i="5"/>
  <c r="K48" i="5"/>
  <c r="K45" i="1"/>
  <c r="E48" i="1"/>
  <c r="F48" i="1" s="1"/>
  <c r="L45" i="1"/>
  <c r="I46" i="1" s="1"/>
  <c r="J54" i="1"/>
  <c r="G47" i="1"/>
  <c r="H46" i="1"/>
  <c r="I47" i="4"/>
  <c r="E50" i="4"/>
  <c r="F50" i="4" s="1"/>
  <c r="G49" i="4"/>
  <c r="H48" i="4"/>
  <c r="K47" i="4"/>
  <c r="J53" i="5" l="1"/>
  <c r="G51" i="5"/>
  <c r="H50" i="5"/>
  <c r="L50" i="5" s="1"/>
  <c r="I51" i="5" s="1"/>
  <c r="E52" i="5"/>
  <c r="F52" i="5" s="1"/>
  <c r="K49" i="5"/>
  <c r="K46" i="1"/>
  <c r="E49" i="1"/>
  <c r="F49" i="1" s="1"/>
  <c r="L46" i="1"/>
  <c r="I47" i="1" s="1"/>
  <c r="G48" i="1"/>
  <c r="H47" i="1"/>
  <c r="J55" i="1"/>
  <c r="L47" i="4"/>
  <c r="I48" i="4" s="1"/>
  <c r="E51" i="4"/>
  <c r="F51" i="4" s="1"/>
  <c r="G50" i="4"/>
  <c r="H49" i="4"/>
  <c r="E53" i="5" l="1"/>
  <c r="F53" i="5" s="1"/>
  <c r="H51" i="5"/>
  <c r="L51" i="5" s="1"/>
  <c r="I52" i="5" s="1"/>
  <c r="G52" i="5"/>
  <c r="J54" i="5"/>
  <c r="K50" i="5"/>
  <c r="K47" i="1"/>
  <c r="E50" i="1"/>
  <c r="F50" i="1" s="1"/>
  <c r="J56" i="1"/>
  <c r="L47" i="1"/>
  <c r="I48" i="1" s="1"/>
  <c r="G49" i="1"/>
  <c r="H48" i="1"/>
  <c r="L48" i="4"/>
  <c r="I49" i="4" s="1"/>
  <c r="K48" i="4"/>
  <c r="E52" i="4"/>
  <c r="F52" i="4" s="1"/>
  <c r="H50" i="4"/>
  <c r="G51" i="4"/>
  <c r="L49" i="4" l="1"/>
  <c r="I50" i="4" s="1"/>
  <c r="K49" i="4"/>
  <c r="E54" i="5"/>
  <c r="F54" i="5" s="1"/>
  <c r="J55" i="5"/>
  <c r="H52" i="5"/>
  <c r="L52" i="5" s="1"/>
  <c r="I53" i="5" s="1"/>
  <c r="G53" i="5"/>
  <c r="K51" i="5"/>
  <c r="K48" i="1"/>
  <c r="E51" i="1"/>
  <c r="F51" i="1" s="1"/>
  <c r="L48" i="1"/>
  <c r="I49" i="1" s="1"/>
  <c r="H49" i="1"/>
  <c r="G50" i="1"/>
  <c r="J57" i="1"/>
  <c r="E53" i="4"/>
  <c r="F53" i="4" s="1"/>
  <c r="G52" i="4"/>
  <c r="H51" i="4"/>
  <c r="L50" i="4" l="1"/>
  <c r="I51" i="4" s="1"/>
  <c r="L51" i="4" s="1"/>
  <c r="K50" i="4"/>
  <c r="E55" i="5"/>
  <c r="F55" i="5" s="1"/>
  <c r="G54" i="5"/>
  <c r="H53" i="5"/>
  <c r="L53" i="5" s="1"/>
  <c r="I54" i="5" s="1"/>
  <c r="J56" i="5"/>
  <c r="K52" i="5"/>
  <c r="K49" i="1"/>
  <c r="E52" i="1"/>
  <c r="F52" i="1" s="1"/>
  <c r="J58" i="1"/>
  <c r="G51" i="1"/>
  <c r="H50" i="1"/>
  <c r="L49" i="1"/>
  <c r="I50" i="1" s="1"/>
  <c r="E54" i="4"/>
  <c r="F54" i="4" s="1"/>
  <c r="H52" i="4"/>
  <c r="G53" i="4"/>
  <c r="I52" i="4" l="1"/>
  <c r="L52" i="4" s="1"/>
  <c r="I53" i="4" s="1"/>
  <c r="K51" i="4"/>
  <c r="E56" i="5"/>
  <c r="F56" i="5" s="1"/>
  <c r="J57" i="5"/>
  <c r="H54" i="5"/>
  <c r="L54" i="5" s="1"/>
  <c r="I55" i="5" s="1"/>
  <c r="G55" i="5"/>
  <c r="K53" i="5"/>
  <c r="K50" i="1"/>
  <c r="E53" i="1"/>
  <c r="F53" i="1" s="1"/>
  <c r="J59" i="1"/>
  <c r="L50" i="1"/>
  <c r="I51" i="1" s="1"/>
  <c r="G52" i="1"/>
  <c r="H51" i="1"/>
  <c r="E55" i="4"/>
  <c r="F55" i="4" s="1"/>
  <c r="G54" i="4"/>
  <c r="H53" i="4"/>
  <c r="K52" i="4" l="1"/>
  <c r="L53" i="4"/>
  <c r="I54" i="4" s="1"/>
  <c r="E57" i="5"/>
  <c r="F57" i="5" s="1"/>
  <c r="H55" i="5"/>
  <c r="L55" i="5" s="1"/>
  <c r="I56" i="5" s="1"/>
  <c r="G56" i="5"/>
  <c r="J58" i="5"/>
  <c r="K54" i="5"/>
  <c r="K51" i="1"/>
  <c r="E54" i="1"/>
  <c r="F54" i="1" s="1"/>
  <c r="J60" i="1"/>
  <c r="L51" i="1"/>
  <c r="I52" i="1" s="1"/>
  <c r="G53" i="1"/>
  <c r="H52" i="1"/>
  <c r="E56" i="4"/>
  <c r="F56" i="4" s="1"/>
  <c r="K53" i="4"/>
  <c r="H54" i="4"/>
  <c r="G55" i="4"/>
  <c r="L54" i="4" l="1"/>
  <c r="I55" i="4" s="1"/>
  <c r="E58" i="5"/>
  <c r="F58" i="5" s="1"/>
  <c r="J59" i="5"/>
  <c r="G57" i="5"/>
  <c r="H56" i="5"/>
  <c r="L56" i="5" s="1"/>
  <c r="I57" i="5" s="1"/>
  <c r="K55" i="5"/>
  <c r="K52" i="1"/>
  <c r="E55" i="1"/>
  <c r="F55" i="1" s="1"/>
  <c r="L52" i="1"/>
  <c r="I53" i="1" s="1"/>
  <c r="G54" i="1"/>
  <c r="H53" i="1"/>
  <c r="J61" i="1"/>
  <c r="E57" i="4"/>
  <c r="F57" i="4" s="1"/>
  <c r="K54" i="4"/>
  <c r="G56" i="4"/>
  <c r="H55" i="4"/>
  <c r="L55" i="4" l="1"/>
  <c r="I56" i="4" s="1"/>
  <c r="E59" i="5"/>
  <c r="F59" i="5" s="1"/>
  <c r="G58" i="5"/>
  <c r="H57" i="5"/>
  <c r="L57" i="5" s="1"/>
  <c r="I58" i="5" s="1"/>
  <c r="J60" i="5"/>
  <c r="K56" i="5"/>
  <c r="K53" i="1"/>
  <c r="E56" i="1"/>
  <c r="F56" i="1" s="1"/>
  <c r="J62" i="1"/>
  <c r="L53" i="1"/>
  <c r="I54" i="1" s="1"/>
  <c r="H54" i="1"/>
  <c r="G55" i="1"/>
  <c r="E58" i="4"/>
  <c r="F58" i="4" s="1"/>
  <c r="K55" i="4"/>
  <c r="G57" i="4"/>
  <c r="H56" i="4"/>
  <c r="L56" i="4" l="1"/>
  <c r="I57" i="4" s="1"/>
  <c r="E60" i="5"/>
  <c r="F60" i="5" s="1"/>
  <c r="H58" i="5"/>
  <c r="L58" i="5" s="1"/>
  <c r="I59" i="5" s="1"/>
  <c r="G59" i="5"/>
  <c r="J61" i="5"/>
  <c r="K57" i="5"/>
  <c r="K54" i="1"/>
  <c r="E57" i="1"/>
  <c r="F57" i="1" s="1"/>
  <c r="G56" i="1"/>
  <c r="H55" i="1"/>
  <c r="L54" i="1"/>
  <c r="I55" i="1" s="1"/>
  <c r="J63" i="1"/>
  <c r="E59" i="4"/>
  <c r="F59" i="4" s="1"/>
  <c r="H57" i="4"/>
  <c r="G58" i="4"/>
  <c r="K56" i="4"/>
  <c r="L57" i="4" l="1"/>
  <c r="I58" i="4" s="1"/>
  <c r="E61" i="5"/>
  <c r="F61" i="5" s="1"/>
  <c r="J62" i="5"/>
  <c r="G60" i="5"/>
  <c r="H59" i="5"/>
  <c r="L59" i="5" s="1"/>
  <c r="I60" i="5" s="1"/>
  <c r="K58" i="5"/>
  <c r="K55" i="1"/>
  <c r="E58" i="1"/>
  <c r="F58" i="1" s="1"/>
  <c r="J64" i="1"/>
  <c r="L55" i="1"/>
  <c r="I56" i="1" s="1"/>
  <c r="H56" i="1"/>
  <c r="G57" i="1"/>
  <c r="E60" i="4"/>
  <c r="F60" i="4" s="1"/>
  <c r="G59" i="4"/>
  <c r="H58" i="4"/>
  <c r="K57" i="4"/>
  <c r="L58" i="4" l="1"/>
  <c r="I59" i="4" s="1"/>
  <c r="E62" i="5"/>
  <c r="F62" i="5" s="1"/>
  <c r="G61" i="5"/>
  <c r="H60" i="5"/>
  <c r="L60" i="5" s="1"/>
  <c r="I61" i="5" s="1"/>
  <c r="J63" i="5"/>
  <c r="K59" i="5"/>
  <c r="K56" i="1"/>
  <c r="L56" i="1"/>
  <c r="I57" i="1" s="1"/>
  <c r="E59" i="1"/>
  <c r="F59" i="1" s="1"/>
  <c r="G58" i="1"/>
  <c r="H57" i="1"/>
  <c r="J65" i="1"/>
  <c r="E61" i="4"/>
  <c r="F61" i="4" s="1"/>
  <c r="K58" i="4"/>
  <c r="H59" i="4"/>
  <c r="G60" i="4"/>
  <c r="L59" i="4" l="1"/>
  <c r="E63" i="5"/>
  <c r="F63" i="5" s="1"/>
  <c r="J64" i="5"/>
  <c r="H61" i="5"/>
  <c r="L61" i="5" s="1"/>
  <c r="I62" i="5" s="1"/>
  <c r="G62" i="5"/>
  <c r="K60" i="5"/>
  <c r="E60" i="1"/>
  <c r="F60" i="1" s="1"/>
  <c r="K57" i="1"/>
  <c r="L57" i="1"/>
  <c r="I58" i="1" s="1"/>
  <c r="J66" i="1"/>
  <c r="G59" i="1"/>
  <c r="H58" i="1"/>
  <c r="I60" i="4"/>
  <c r="E62" i="4"/>
  <c r="F62" i="4" s="1"/>
  <c r="H60" i="4"/>
  <c r="L60" i="4" s="1"/>
  <c r="G61" i="4"/>
  <c r="K59" i="4"/>
  <c r="E64" i="5" l="1"/>
  <c r="F64" i="5" s="1"/>
  <c r="H62" i="5"/>
  <c r="L62" i="5" s="1"/>
  <c r="I63" i="5" s="1"/>
  <c r="G63" i="5"/>
  <c r="J65" i="5"/>
  <c r="K61" i="5"/>
  <c r="K58" i="1"/>
  <c r="L58" i="1"/>
  <c r="I59" i="1" s="1"/>
  <c r="H59" i="1"/>
  <c r="G60" i="1"/>
  <c r="J67" i="1"/>
  <c r="E61" i="1"/>
  <c r="F61" i="1" s="1"/>
  <c r="I61" i="4"/>
  <c r="E63" i="4"/>
  <c r="F63" i="4" s="1"/>
  <c r="G62" i="4"/>
  <c r="H61" i="4"/>
  <c r="K60" i="4"/>
  <c r="L61" i="4" l="1"/>
  <c r="I62" i="4" s="1"/>
  <c r="E65" i="5"/>
  <c r="F65" i="5" s="1"/>
  <c r="J66" i="5"/>
  <c r="H63" i="5"/>
  <c r="L63" i="5" s="1"/>
  <c r="I64" i="5" s="1"/>
  <c r="G64" i="5"/>
  <c r="K62" i="5"/>
  <c r="E62" i="1"/>
  <c r="F62" i="1" s="1"/>
  <c r="K59" i="1"/>
  <c r="L59" i="1"/>
  <c r="I60" i="1" s="1"/>
  <c r="J68" i="1"/>
  <c r="G61" i="1"/>
  <c r="H60" i="1"/>
  <c r="E64" i="4"/>
  <c r="F64" i="4" s="1"/>
  <c r="K61" i="4"/>
  <c r="H62" i="4"/>
  <c r="G63" i="4"/>
  <c r="L62" i="4" l="1"/>
  <c r="I63" i="4" s="1"/>
  <c r="E66" i="5"/>
  <c r="F66" i="5" s="1"/>
  <c r="G65" i="5"/>
  <c r="H64" i="5"/>
  <c r="L64" i="5" s="1"/>
  <c r="I65" i="5" s="1"/>
  <c r="J67" i="5"/>
  <c r="K63" i="5"/>
  <c r="K60" i="1"/>
  <c r="E63" i="1"/>
  <c r="F63" i="1" s="1"/>
  <c r="L60" i="1"/>
  <c r="I61" i="1" s="1"/>
  <c r="J69" i="1"/>
  <c r="H61" i="1"/>
  <c r="G62" i="1"/>
  <c r="E65" i="4"/>
  <c r="F65" i="4" s="1"/>
  <c r="G64" i="4"/>
  <c r="H63" i="4"/>
  <c r="K62" i="4"/>
  <c r="L63" i="4" l="1"/>
  <c r="I64" i="4" s="1"/>
  <c r="E67" i="5"/>
  <c r="F67" i="5" s="1"/>
  <c r="J68" i="5"/>
  <c r="H65" i="5"/>
  <c r="L65" i="5" s="1"/>
  <c r="I66" i="5" s="1"/>
  <c r="G66" i="5"/>
  <c r="K64" i="5"/>
  <c r="K61" i="1"/>
  <c r="E64" i="1"/>
  <c r="F64" i="1" s="1"/>
  <c r="L61" i="1"/>
  <c r="I62" i="1" s="1"/>
  <c r="G63" i="1"/>
  <c r="H62" i="1"/>
  <c r="J70" i="1"/>
  <c r="E66" i="4"/>
  <c r="F66" i="4" s="1"/>
  <c r="K63" i="4"/>
  <c r="H64" i="4"/>
  <c r="G65" i="4"/>
  <c r="L64" i="4" l="1"/>
  <c r="I65" i="4" s="1"/>
  <c r="E68" i="5"/>
  <c r="F68" i="5" s="1"/>
  <c r="G67" i="5"/>
  <c r="H66" i="5"/>
  <c r="L66" i="5" s="1"/>
  <c r="I67" i="5" s="1"/>
  <c r="J69" i="5"/>
  <c r="K65" i="5"/>
  <c r="K62" i="1"/>
  <c r="E65" i="1"/>
  <c r="F65" i="1" s="1"/>
  <c r="J71" i="1"/>
  <c r="L62" i="1"/>
  <c r="I63" i="1" s="1"/>
  <c r="H63" i="1"/>
  <c r="G64" i="1"/>
  <c r="E67" i="4"/>
  <c r="F67" i="4" s="1"/>
  <c r="G66" i="4"/>
  <c r="H65" i="4"/>
  <c r="K64" i="4"/>
  <c r="L65" i="4" l="1"/>
  <c r="J70" i="5"/>
  <c r="G68" i="5"/>
  <c r="H67" i="5"/>
  <c r="L67" i="5" s="1"/>
  <c r="I68" i="5" s="1"/>
  <c r="E69" i="5"/>
  <c r="F69" i="5" s="1"/>
  <c r="K66" i="5"/>
  <c r="K63" i="1"/>
  <c r="E66" i="1"/>
  <c r="F66" i="1" s="1"/>
  <c r="G65" i="1"/>
  <c r="H64" i="1"/>
  <c r="L63" i="1"/>
  <c r="I64" i="1" s="1"/>
  <c r="J72" i="1"/>
  <c r="I66" i="4"/>
  <c r="E68" i="4"/>
  <c r="F68" i="4" s="1"/>
  <c r="K65" i="4"/>
  <c r="H66" i="4"/>
  <c r="L66" i="4" s="1"/>
  <c r="G67" i="4"/>
  <c r="E70" i="5" l="1"/>
  <c r="F70" i="5" s="1"/>
  <c r="G69" i="5"/>
  <c r="H68" i="5"/>
  <c r="L68" i="5" s="1"/>
  <c r="I69" i="5" s="1"/>
  <c r="J71" i="5"/>
  <c r="K67" i="5"/>
  <c r="K64" i="1"/>
  <c r="E67" i="1"/>
  <c r="F67" i="1" s="1"/>
  <c r="J73" i="1"/>
  <c r="G66" i="1"/>
  <c r="H65" i="1"/>
  <c r="L64" i="1"/>
  <c r="I65" i="1" s="1"/>
  <c r="I67" i="4"/>
  <c r="E69" i="4"/>
  <c r="F69" i="4" s="1"/>
  <c r="H67" i="4"/>
  <c r="L67" i="4" s="1"/>
  <c r="G68" i="4"/>
  <c r="K66" i="4"/>
  <c r="E71" i="5" l="1"/>
  <c r="F71" i="5" s="1"/>
  <c r="J72" i="5"/>
  <c r="H69" i="5"/>
  <c r="L69" i="5" s="1"/>
  <c r="I70" i="5" s="1"/>
  <c r="G70" i="5"/>
  <c r="K68" i="5"/>
  <c r="K65" i="1"/>
  <c r="E68" i="1"/>
  <c r="F68" i="1" s="1"/>
  <c r="L65" i="1"/>
  <c r="I66" i="1" s="1"/>
  <c r="H66" i="1"/>
  <c r="G67" i="1"/>
  <c r="J74" i="1"/>
  <c r="I68" i="4"/>
  <c r="E70" i="4"/>
  <c r="F70" i="4" s="1"/>
  <c r="K67" i="4"/>
  <c r="G69" i="4"/>
  <c r="H68" i="4"/>
  <c r="L68" i="4" s="1"/>
  <c r="E72" i="5" l="1"/>
  <c r="F72" i="5" s="1"/>
  <c r="G71" i="5"/>
  <c r="H70" i="5"/>
  <c r="L70" i="5" s="1"/>
  <c r="I71" i="5" s="1"/>
  <c r="J73" i="5"/>
  <c r="K69" i="5"/>
  <c r="K66" i="1"/>
  <c r="E69" i="1"/>
  <c r="F69" i="1" s="1"/>
  <c r="J75" i="1"/>
  <c r="G68" i="1"/>
  <c r="H67" i="1"/>
  <c r="L66" i="1"/>
  <c r="I67" i="1" s="1"/>
  <c r="I69" i="4"/>
  <c r="E71" i="4"/>
  <c r="F71" i="4" s="1"/>
  <c r="H69" i="4"/>
  <c r="L69" i="4" s="1"/>
  <c r="G70" i="4"/>
  <c r="K68" i="4"/>
  <c r="E73" i="5" l="1"/>
  <c r="F73" i="5" s="1"/>
  <c r="J74" i="5"/>
  <c r="G72" i="5"/>
  <c r="H71" i="5"/>
  <c r="L71" i="5" s="1"/>
  <c r="I72" i="5" s="1"/>
  <c r="K70" i="5"/>
  <c r="K67" i="1"/>
  <c r="E70" i="1"/>
  <c r="F70" i="1" s="1"/>
  <c r="G69" i="1"/>
  <c r="H68" i="1"/>
  <c r="L67" i="1"/>
  <c r="I68" i="1" s="1"/>
  <c r="J76" i="1"/>
  <c r="I70" i="4"/>
  <c r="E72" i="4"/>
  <c r="F72" i="4" s="1"/>
  <c r="G71" i="4"/>
  <c r="H70" i="4"/>
  <c r="L70" i="4" s="1"/>
  <c r="K69" i="4"/>
  <c r="E74" i="5" l="1"/>
  <c r="F74" i="5" s="1"/>
  <c r="H72" i="5"/>
  <c r="L72" i="5" s="1"/>
  <c r="I73" i="5" s="1"/>
  <c r="G73" i="5"/>
  <c r="J75" i="5"/>
  <c r="K71" i="5"/>
  <c r="K68" i="1"/>
  <c r="E71" i="1"/>
  <c r="F71" i="1" s="1"/>
  <c r="J77" i="1"/>
  <c r="L68" i="1"/>
  <c r="I69" i="1" s="1"/>
  <c r="H69" i="1"/>
  <c r="G70" i="1"/>
  <c r="I71" i="4"/>
  <c r="K70" i="4"/>
  <c r="H71" i="4"/>
  <c r="L71" i="4" s="1"/>
  <c r="G72" i="4"/>
  <c r="E73" i="4"/>
  <c r="F73" i="4" s="1"/>
  <c r="E75" i="5" l="1"/>
  <c r="F75" i="5" s="1"/>
  <c r="J76" i="5"/>
  <c r="G74" i="5"/>
  <c r="H73" i="5"/>
  <c r="L73" i="5" s="1"/>
  <c r="I74" i="5" s="1"/>
  <c r="K72" i="5"/>
  <c r="K69" i="1"/>
  <c r="E72" i="1"/>
  <c r="F72" i="1" s="1"/>
  <c r="L69" i="1"/>
  <c r="I70" i="1" s="1"/>
  <c r="G71" i="1"/>
  <c r="H70" i="1"/>
  <c r="J78" i="1"/>
  <c r="I72" i="4"/>
  <c r="E74" i="4"/>
  <c r="F74" i="4" s="1"/>
  <c r="G73" i="4"/>
  <c r="H72" i="4"/>
  <c r="L72" i="4" s="1"/>
  <c r="K71" i="4"/>
  <c r="H74" i="5" l="1"/>
  <c r="L74" i="5" s="1"/>
  <c r="I75" i="5" s="1"/>
  <c r="G75" i="5"/>
  <c r="J77" i="5"/>
  <c r="E76" i="5"/>
  <c r="F76" i="5" s="1"/>
  <c r="K73" i="5"/>
  <c r="K70" i="1"/>
  <c r="E73" i="1"/>
  <c r="F73" i="1" s="1"/>
  <c r="J79" i="1"/>
  <c r="L70" i="1"/>
  <c r="I71" i="1" s="1"/>
  <c r="G72" i="1"/>
  <c r="H71" i="1"/>
  <c r="I73" i="4"/>
  <c r="E75" i="4"/>
  <c r="F75" i="4" s="1"/>
  <c r="K72" i="4"/>
  <c r="G74" i="4"/>
  <c r="H73" i="4"/>
  <c r="L73" i="4" s="1"/>
  <c r="E77" i="5" l="1"/>
  <c r="F77" i="5" s="1"/>
  <c r="J78" i="5"/>
  <c r="G76" i="5"/>
  <c r="H75" i="5"/>
  <c r="L75" i="5" s="1"/>
  <c r="I76" i="5" s="1"/>
  <c r="K74" i="5"/>
  <c r="K71" i="1"/>
  <c r="E74" i="1"/>
  <c r="F74" i="1" s="1"/>
  <c r="L71" i="1"/>
  <c r="I72" i="1" s="1"/>
  <c r="H72" i="1"/>
  <c r="G73" i="1"/>
  <c r="J80" i="1"/>
  <c r="I74" i="4"/>
  <c r="E76" i="4"/>
  <c r="F76" i="4" s="1"/>
  <c r="H74" i="4"/>
  <c r="L74" i="4" s="1"/>
  <c r="G75" i="4"/>
  <c r="K73" i="4"/>
  <c r="E78" i="5" l="1"/>
  <c r="F78" i="5" s="1"/>
  <c r="H76" i="5"/>
  <c r="L76" i="5" s="1"/>
  <c r="I77" i="5" s="1"/>
  <c r="G77" i="5"/>
  <c r="J79" i="5"/>
  <c r="K75" i="5"/>
  <c r="K72" i="1"/>
  <c r="E75" i="1"/>
  <c r="F75" i="1" s="1"/>
  <c r="J81" i="1"/>
  <c r="G74" i="1"/>
  <c r="H73" i="1"/>
  <c r="L72" i="1"/>
  <c r="I73" i="1" s="1"/>
  <c r="I75" i="4"/>
  <c r="E77" i="4"/>
  <c r="F77" i="4" s="1"/>
  <c r="K74" i="4"/>
  <c r="G76" i="4"/>
  <c r="H75" i="4"/>
  <c r="L75" i="4" s="1"/>
  <c r="E79" i="5" l="1"/>
  <c r="F79" i="5" s="1"/>
  <c r="J80" i="5"/>
  <c r="G78" i="5"/>
  <c r="H77" i="5"/>
  <c r="L77" i="5" s="1"/>
  <c r="I78" i="5" s="1"/>
  <c r="K76" i="5"/>
  <c r="K73" i="1"/>
  <c r="E76" i="1"/>
  <c r="F76" i="1" s="1"/>
  <c r="L73" i="1"/>
  <c r="I74" i="1" s="1"/>
  <c r="H74" i="1"/>
  <c r="G75" i="1"/>
  <c r="J82" i="1"/>
  <c r="I76" i="4"/>
  <c r="E78" i="4"/>
  <c r="F78" i="4" s="1"/>
  <c r="K75" i="4"/>
  <c r="H76" i="4"/>
  <c r="L76" i="4" s="1"/>
  <c r="G77" i="4"/>
  <c r="E80" i="5" l="1"/>
  <c r="F80" i="5" s="1"/>
  <c r="G79" i="5"/>
  <c r="H78" i="5"/>
  <c r="L78" i="5" s="1"/>
  <c r="I79" i="5" s="1"/>
  <c r="J81" i="5"/>
  <c r="K77" i="5"/>
  <c r="K74" i="1"/>
  <c r="E77" i="1"/>
  <c r="F77" i="1" s="1"/>
  <c r="J83" i="1"/>
  <c r="H75" i="1"/>
  <c r="G76" i="1"/>
  <c r="L74" i="1"/>
  <c r="I75" i="1" s="1"/>
  <c r="I77" i="4"/>
  <c r="E79" i="4"/>
  <c r="F79" i="4" s="1"/>
  <c r="G78" i="4"/>
  <c r="H77" i="4"/>
  <c r="L77" i="4" s="1"/>
  <c r="K76" i="4"/>
  <c r="E81" i="5" l="1"/>
  <c r="F81" i="5" s="1"/>
  <c r="J82" i="5"/>
  <c r="H79" i="5"/>
  <c r="L79" i="5" s="1"/>
  <c r="I80" i="5" s="1"/>
  <c r="G80" i="5"/>
  <c r="K78" i="5"/>
  <c r="K75" i="1"/>
  <c r="E78" i="1"/>
  <c r="F78" i="1" s="1"/>
  <c r="H76" i="1"/>
  <c r="G77" i="1"/>
  <c r="L75" i="1"/>
  <c r="I76" i="1" s="1"/>
  <c r="J84" i="1"/>
  <c r="I78" i="4"/>
  <c r="E80" i="4"/>
  <c r="F80" i="4" s="1"/>
  <c r="K77" i="4"/>
  <c r="H78" i="4"/>
  <c r="L78" i="4" s="1"/>
  <c r="G79" i="4"/>
  <c r="E82" i="5" l="1"/>
  <c r="F82" i="5" s="1"/>
  <c r="H80" i="5"/>
  <c r="L80" i="5" s="1"/>
  <c r="I81" i="5" s="1"/>
  <c r="G81" i="5"/>
  <c r="J83" i="5"/>
  <c r="K79" i="5"/>
  <c r="K76" i="1"/>
  <c r="E79" i="1"/>
  <c r="F79" i="1" s="1"/>
  <c r="J85" i="1"/>
  <c r="G78" i="1"/>
  <c r="H77" i="1"/>
  <c r="L76" i="1"/>
  <c r="I77" i="1" s="1"/>
  <c r="I79" i="4"/>
  <c r="E81" i="4"/>
  <c r="F81" i="4" s="1"/>
  <c r="K78" i="4"/>
  <c r="H79" i="4"/>
  <c r="G80" i="4"/>
  <c r="L79" i="4" l="1"/>
  <c r="I80" i="4" s="1"/>
  <c r="J84" i="5"/>
  <c r="H81" i="5"/>
  <c r="L81" i="5" s="1"/>
  <c r="I82" i="5" s="1"/>
  <c r="G82" i="5"/>
  <c r="E83" i="5"/>
  <c r="F83" i="5" s="1"/>
  <c r="K80" i="5"/>
  <c r="K77" i="1"/>
  <c r="E80" i="1"/>
  <c r="F80" i="1" s="1"/>
  <c r="L77" i="1"/>
  <c r="I78" i="1" s="1"/>
  <c r="H78" i="1"/>
  <c r="G79" i="1"/>
  <c r="J86" i="1"/>
  <c r="E82" i="4"/>
  <c r="F82" i="4" s="1"/>
  <c r="G81" i="4"/>
  <c r="H80" i="4"/>
  <c r="K79" i="4"/>
  <c r="L80" i="4" l="1"/>
  <c r="I81" i="4" s="1"/>
  <c r="E84" i="5"/>
  <c r="F84" i="5" s="1"/>
  <c r="G83" i="5"/>
  <c r="H82" i="5"/>
  <c r="L82" i="5" s="1"/>
  <c r="I83" i="5" s="1"/>
  <c r="J85" i="5"/>
  <c r="K81" i="5"/>
  <c r="E81" i="1"/>
  <c r="F81" i="1" s="1"/>
  <c r="J87" i="1"/>
  <c r="G80" i="1"/>
  <c r="H79" i="1"/>
  <c r="L78" i="1"/>
  <c r="I79" i="1" s="1"/>
  <c r="K78" i="1"/>
  <c r="E83" i="4"/>
  <c r="F83" i="4" s="1"/>
  <c r="K80" i="4"/>
  <c r="H81" i="4"/>
  <c r="G82" i="4"/>
  <c r="L81" i="4" l="1"/>
  <c r="I82" i="4" s="1"/>
  <c r="L79" i="1"/>
  <c r="E85" i="5"/>
  <c r="F85" i="5" s="1"/>
  <c r="J86" i="5"/>
  <c r="H83" i="5"/>
  <c r="L83" i="5" s="1"/>
  <c r="I84" i="5" s="1"/>
  <c r="G84" i="5"/>
  <c r="K82" i="5"/>
  <c r="E82" i="1"/>
  <c r="F82" i="1" s="1"/>
  <c r="K79" i="1"/>
  <c r="I80" i="1"/>
  <c r="J88" i="1"/>
  <c r="G81" i="1"/>
  <c r="H80" i="1"/>
  <c r="E84" i="4"/>
  <c r="F84" i="4" s="1"/>
  <c r="G83" i="4"/>
  <c r="H82" i="4"/>
  <c r="K81" i="4"/>
  <c r="L80" i="1" l="1"/>
  <c r="L82" i="4"/>
  <c r="I83" i="4" s="1"/>
  <c r="E86" i="5"/>
  <c r="F86" i="5" s="1"/>
  <c r="G85" i="5"/>
  <c r="H84" i="5"/>
  <c r="L84" i="5" s="1"/>
  <c r="I85" i="5" s="1"/>
  <c r="J87" i="5"/>
  <c r="K83" i="5"/>
  <c r="E83" i="1"/>
  <c r="F83" i="1" s="1"/>
  <c r="J89" i="1"/>
  <c r="H81" i="1"/>
  <c r="G82" i="1"/>
  <c r="I81" i="1"/>
  <c r="K80" i="1"/>
  <c r="E85" i="4"/>
  <c r="F85" i="4" s="1"/>
  <c r="K82" i="4"/>
  <c r="H83" i="4"/>
  <c r="G84" i="4"/>
  <c r="L83" i="4" l="1"/>
  <c r="I84" i="4" s="1"/>
  <c r="L81" i="1"/>
  <c r="E87" i="5"/>
  <c r="F87" i="5" s="1"/>
  <c r="J88" i="5"/>
  <c r="H85" i="5"/>
  <c r="L85" i="5" s="1"/>
  <c r="I86" i="5" s="1"/>
  <c r="G86" i="5"/>
  <c r="K84" i="5"/>
  <c r="E84" i="1"/>
  <c r="F84" i="1" s="1"/>
  <c r="I82" i="1"/>
  <c r="K81" i="1"/>
  <c r="H82" i="1"/>
  <c r="G83" i="1"/>
  <c r="J90" i="1"/>
  <c r="E86" i="4"/>
  <c r="F86" i="4" s="1"/>
  <c r="G85" i="4"/>
  <c r="H84" i="4"/>
  <c r="K83" i="4"/>
  <c r="L84" i="4" l="1"/>
  <c r="L82" i="1"/>
  <c r="E88" i="5"/>
  <c r="F88" i="5" s="1"/>
  <c r="G87" i="5"/>
  <c r="H86" i="5"/>
  <c r="L86" i="5" s="1"/>
  <c r="I87" i="5" s="1"/>
  <c r="J89" i="5"/>
  <c r="K85" i="5"/>
  <c r="E85" i="1"/>
  <c r="F85" i="1" s="1"/>
  <c r="J91" i="1"/>
  <c r="H83" i="1"/>
  <c r="G84" i="1"/>
  <c r="K82" i="1"/>
  <c r="I83" i="1"/>
  <c r="I85" i="4"/>
  <c r="E87" i="4"/>
  <c r="F87" i="4" s="1"/>
  <c r="K84" i="4"/>
  <c r="G86" i="4"/>
  <c r="H85" i="4"/>
  <c r="L85" i="4" s="1"/>
  <c r="E89" i="5" l="1"/>
  <c r="F89" i="5" s="1"/>
  <c r="J90" i="5"/>
  <c r="H87" i="5"/>
  <c r="L87" i="5" s="1"/>
  <c r="I88" i="5" s="1"/>
  <c r="G88" i="5"/>
  <c r="K86" i="5"/>
  <c r="E86" i="1"/>
  <c r="F86" i="1" s="1"/>
  <c r="K83" i="1"/>
  <c r="H84" i="1"/>
  <c r="G85" i="1"/>
  <c r="L83" i="1"/>
  <c r="I84" i="1" s="1"/>
  <c r="J92" i="1"/>
  <c r="I86" i="4"/>
  <c r="E88" i="4"/>
  <c r="F88" i="4" s="1"/>
  <c r="H86" i="4"/>
  <c r="L86" i="4" s="1"/>
  <c r="G87" i="4"/>
  <c r="K85" i="4"/>
  <c r="G89" i="5" l="1"/>
  <c r="H88" i="5"/>
  <c r="L88" i="5" s="1"/>
  <c r="I89" i="5" s="1"/>
  <c r="J91" i="5"/>
  <c r="E90" i="5"/>
  <c r="F90" i="5" s="1"/>
  <c r="K87" i="5"/>
  <c r="E87" i="1"/>
  <c r="F87" i="1" s="1"/>
  <c r="K84" i="1"/>
  <c r="J93" i="1"/>
  <c r="G86" i="1"/>
  <c r="H85" i="1"/>
  <c r="L84" i="1"/>
  <c r="I85" i="1" s="1"/>
  <c r="I87" i="4"/>
  <c r="E89" i="4"/>
  <c r="F89" i="4" s="1"/>
  <c r="K86" i="4"/>
  <c r="G88" i="4"/>
  <c r="H87" i="4"/>
  <c r="L87" i="4" s="1"/>
  <c r="E91" i="5" l="1"/>
  <c r="F91" i="5" s="1"/>
  <c r="J92" i="5"/>
  <c r="G90" i="5"/>
  <c r="H89" i="5"/>
  <c r="L89" i="5" s="1"/>
  <c r="I90" i="5" s="1"/>
  <c r="K88" i="5"/>
  <c r="K85" i="1"/>
  <c r="E88" i="1"/>
  <c r="F88" i="1" s="1"/>
  <c r="L85" i="1"/>
  <c r="I86" i="1" s="1"/>
  <c r="G87" i="1"/>
  <c r="H86" i="1"/>
  <c r="J94" i="1"/>
  <c r="I88" i="4"/>
  <c r="E90" i="4"/>
  <c r="F90" i="4" s="1"/>
  <c r="H88" i="4"/>
  <c r="G89" i="4"/>
  <c r="K87" i="4"/>
  <c r="L88" i="4" l="1"/>
  <c r="I89" i="4" s="1"/>
  <c r="E92" i="5"/>
  <c r="F92" i="5" s="1"/>
  <c r="H90" i="5"/>
  <c r="L90" i="5" s="1"/>
  <c r="I91" i="5" s="1"/>
  <c r="G91" i="5"/>
  <c r="J93" i="5"/>
  <c r="K89" i="5"/>
  <c r="K86" i="1"/>
  <c r="E89" i="1"/>
  <c r="F89" i="1" s="1"/>
  <c r="J95" i="1"/>
  <c r="L86" i="1"/>
  <c r="I87" i="1" s="1"/>
  <c r="H87" i="1"/>
  <c r="G88" i="1"/>
  <c r="E91" i="4"/>
  <c r="F91" i="4" s="1"/>
  <c r="G90" i="4"/>
  <c r="H89" i="4"/>
  <c r="K88" i="4"/>
  <c r="L89" i="4" l="1"/>
  <c r="J94" i="5"/>
  <c r="G92" i="5"/>
  <c r="H91" i="5"/>
  <c r="L91" i="5" s="1"/>
  <c r="I92" i="5" s="1"/>
  <c r="E93" i="5"/>
  <c r="F93" i="5" s="1"/>
  <c r="K90" i="5"/>
  <c r="K87" i="1"/>
  <c r="E90" i="1"/>
  <c r="F90" i="1" s="1"/>
  <c r="L87" i="1"/>
  <c r="I88" i="1" s="1"/>
  <c r="G89" i="1"/>
  <c r="H88" i="1"/>
  <c r="J96" i="1"/>
  <c r="I90" i="4"/>
  <c r="E92" i="4"/>
  <c r="F92" i="4" s="1"/>
  <c r="K89" i="4"/>
  <c r="H90" i="4"/>
  <c r="L90" i="4" s="1"/>
  <c r="G91" i="4"/>
  <c r="K91" i="5" l="1"/>
  <c r="E94" i="5"/>
  <c r="F94" i="5" s="1"/>
  <c r="H92" i="5"/>
  <c r="L92" i="5" s="1"/>
  <c r="I93" i="5" s="1"/>
  <c r="G93" i="5"/>
  <c r="J95" i="5"/>
  <c r="K88" i="1"/>
  <c r="E91" i="1"/>
  <c r="F91" i="1" s="1"/>
  <c r="J97" i="1"/>
  <c r="L88" i="1"/>
  <c r="I89" i="1" s="1"/>
  <c r="H89" i="1"/>
  <c r="G90" i="1"/>
  <c r="I91" i="4"/>
  <c r="K90" i="4"/>
  <c r="G92" i="4"/>
  <c r="H91" i="4"/>
  <c r="L91" i="4" s="1"/>
  <c r="E93" i="4"/>
  <c r="F93" i="4" s="1"/>
  <c r="E95" i="5" l="1"/>
  <c r="F95" i="5" s="1"/>
  <c r="G94" i="5"/>
  <c r="H93" i="5"/>
  <c r="L93" i="5" s="1"/>
  <c r="I94" i="5" s="1"/>
  <c r="J96" i="5"/>
  <c r="K92" i="5"/>
  <c r="K89" i="1"/>
  <c r="E92" i="1"/>
  <c r="F92" i="1" s="1"/>
  <c r="L89" i="1"/>
  <c r="I90" i="1" s="1"/>
  <c r="J98" i="1"/>
  <c r="H90" i="1"/>
  <c r="G91" i="1"/>
  <c r="I92" i="4"/>
  <c r="E94" i="4"/>
  <c r="F94" i="4" s="1"/>
  <c r="G93" i="4"/>
  <c r="H92" i="4"/>
  <c r="L92" i="4" s="1"/>
  <c r="K91" i="4"/>
  <c r="E96" i="5" l="1"/>
  <c r="F96" i="5" s="1"/>
  <c r="J97" i="5"/>
  <c r="H94" i="5"/>
  <c r="L94" i="5" s="1"/>
  <c r="I95" i="5" s="1"/>
  <c r="G95" i="5"/>
  <c r="K93" i="5"/>
  <c r="K90" i="1"/>
  <c r="E93" i="1"/>
  <c r="F93" i="1" s="1"/>
  <c r="H91" i="1"/>
  <c r="G92" i="1"/>
  <c r="L90" i="1"/>
  <c r="I91" i="1" s="1"/>
  <c r="J99" i="1"/>
  <c r="I93" i="4"/>
  <c r="E95" i="4"/>
  <c r="F95" i="4" s="1"/>
  <c r="K92" i="4"/>
  <c r="H93" i="4"/>
  <c r="L93" i="4" s="1"/>
  <c r="G94" i="4"/>
  <c r="E97" i="5" l="1"/>
  <c r="F97" i="5" s="1"/>
  <c r="G96" i="5"/>
  <c r="H95" i="5"/>
  <c r="L95" i="5" s="1"/>
  <c r="I96" i="5" s="1"/>
  <c r="J98" i="5"/>
  <c r="K94" i="5"/>
  <c r="E94" i="1"/>
  <c r="F94" i="1" s="1"/>
  <c r="K91" i="1"/>
  <c r="J100" i="1"/>
  <c r="G93" i="1"/>
  <c r="H92" i="1"/>
  <c r="L91" i="1"/>
  <c r="I92" i="1" s="1"/>
  <c r="I94" i="4"/>
  <c r="E96" i="4"/>
  <c r="F96" i="4" s="1"/>
  <c r="G95" i="4"/>
  <c r="H94" i="4"/>
  <c r="L94" i="4" s="1"/>
  <c r="K93" i="4"/>
  <c r="E98" i="5" l="1"/>
  <c r="F98" i="5" s="1"/>
  <c r="J99" i="5"/>
  <c r="G97" i="5"/>
  <c r="H96" i="5"/>
  <c r="L96" i="5" s="1"/>
  <c r="I97" i="5" s="1"/>
  <c r="K95" i="5"/>
  <c r="K92" i="1"/>
  <c r="E95" i="1"/>
  <c r="F95" i="1" s="1"/>
  <c r="L92" i="1"/>
  <c r="I93" i="1" s="1"/>
  <c r="H93" i="1"/>
  <c r="G94" i="1"/>
  <c r="J101" i="1"/>
  <c r="I95" i="4"/>
  <c r="E97" i="4"/>
  <c r="F97" i="4" s="1"/>
  <c r="H95" i="4"/>
  <c r="L95" i="4" s="1"/>
  <c r="G96" i="4"/>
  <c r="K94" i="4"/>
  <c r="E99" i="5" l="1"/>
  <c r="F99" i="5" s="1"/>
  <c r="G98" i="5"/>
  <c r="H97" i="5"/>
  <c r="L97" i="5" s="1"/>
  <c r="I98" i="5" s="1"/>
  <c r="J100" i="5"/>
  <c r="K96" i="5"/>
  <c r="E96" i="1"/>
  <c r="F96" i="1" s="1"/>
  <c r="G95" i="1"/>
  <c r="H94" i="1"/>
  <c r="J102" i="1"/>
  <c r="L93" i="1"/>
  <c r="I94" i="1" s="1"/>
  <c r="K93" i="1"/>
  <c r="I96" i="4"/>
  <c r="E98" i="4"/>
  <c r="F98" i="4" s="1"/>
  <c r="K95" i="4"/>
  <c r="H96" i="4"/>
  <c r="L96" i="4" s="1"/>
  <c r="G97" i="4"/>
  <c r="J101" i="5" l="1"/>
  <c r="E100" i="5"/>
  <c r="F100" i="5" s="1"/>
  <c r="H98" i="5"/>
  <c r="L98" i="5" s="1"/>
  <c r="I99" i="5" s="1"/>
  <c r="G99" i="5"/>
  <c r="K97" i="5"/>
  <c r="E97" i="1"/>
  <c r="F97" i="1" s="1"/>
  <c r="K94" i="1"/>
  <c r="J103" i="1"/>
  <c r="L94" i="1"/>
  <c r="I95" i="1" s="1"/>
  <c r="G96" i="1"/>
  <c r="H95" i="1"/>
  <c r="I97" i="4"/>
  <c r="E99" i="4"/>
  <c r="F99" i="4" s="1"/>
  <c r="G98" i="4"/>
  <c r="H97" i="4"/>
  <c r="L97" i="4" s="1"/>
  <c r="K96" i="4"/>
  <c r="E101" i="5" l="1"/>
  <c r="F101" i="5" s="1"/>
  <c r="K98" i="5"/>
  <c r="H99" i="5"/>
  <c r="L99" i="5" s="1"/>
  <c r="I100" i="5" s="1"/>
  <c r="G100" i="5"/>
  <c r="J102" i="5"/>
  <c r="K95" i="1"/>
  <c r="E98" i="1"/>
  <c r="F98" i="1" s="1"/>
  <c r="L95" i="1"/>
  <c r="I96" i="1" s="1"/>
  <c r="H96" i="1"/>
  <c r="G97" i="1"/>
  <c r="J104" i="1"/>
  <c r="I98" i="4"/>
  <c r="E100" i="4"/>
  <c r="F100" i="4" s="1"/>
  <c r="K97" i="4"/>
  <c r="H98" i="4"/>
  <c r="L98" i="4" s="1"/>
  <c r="G99" i="4"/>
  <c r="E102" i="5" l="1"/>
  <c r="F102" i="5" s="1"/>
  <c r="J103" i="5"/>
  <c r="G101" i="5"/>
  <c r="H100" i="5"/>
  <c r="L100" i="5" s="1"/>
  <c r="I101" i="5" s="1"/>
  <c r="K99" i="5"/>
  <c r="K96" i="1"/>
  <c r="E99" i="1"/>
  <c r="F99" i="1" s="1"/>
  <c r="J105" i="1"/>
  <c r="H97" i="1"/>
  <c r="G98" i="1"/>
  <c r="L96" i="1"/>
  <c r="I97" i="1" s="1"/>
  <c r="I99" i="4"/>
  <c r="E101" i="4"/>
  <c r="F101" i="4" s="1"/>
  <c r="G100" i="4"/>
  <c r="H99" i="4"/>
  <c r="L99" i="4" s="1"/>
  <c r="K98" i="4"/>
  <c r="E103" i="5" l="1"/>
  <c r="F103" i="5" s="1"/>
  <c r="H101" i="5"/>
  <c r="L101" i="5" s="1"/>
  <c r="I102" i="5" s="1"/>
  <c r="G102" i="5"/>
  <c r="J104" i="5"/>
  <c r="K100" i="5"/>
  <c r="K97" i="1"/>
  <c r="E100" i="1"/>
  <c r="F100" i="1" s="1"/>
  <c r="G99" i="1"/>
  <c r="H98" i="1"/>
  <c r="L97" i="1"/>
  <c r="I98" i="1" s="1"/>
  <c r="J106" i="1"/>
  <c r="I100" i="4"/>
  <c r="E102" i="4"/>
  <c r="F102" i="4" s="1"/>
  <c r="K99" i="4"/>
  <c r="H100" i="4"/>
  <c r="L100" i="4" s="1"/>
  <c r="G101" i="4"/>
  <c r="E104" i="5" l="1"/>
  <c r="F104" i="5" s="1"/>
  <c r="J105" i="5"/>
  <c r="G103" i="5"/>
  <c r="H102" i="5"/>
  <c r="L102" i="5" s="1"/>
  <c r="I103" i="5" s="1"/>
  <c r="K101" i="5"/>
  <c r="K98" i="1"/>
  <c r="E101" i="1"/>
  <c r="F101" i="1" s="1"/>
  <c r="J107" i="1"/>
  <c r="L98" i="1"/>
  <c r="I99" i="1" s="1"/>
  <c r="H99" i="1"/>
  <c r="G100" i="1"/>
  <c r="I101" i="4"/>
  <c r="E103" i="4"/>
  <c r="F103" i="4" s="1"/>
  <c r="G102" i="4"/>
  <c r="H101" i="4"/>
  <c r="L101" i="4" s="1"/>
  <c r="K100" i="4"/>
  <c r="E105" i="5" l="1"/>
  <c r="F105" i="5" s="1"/>
  <c r="H103" i="5"/>
  <c r="L103" i="5" s="1"/>
  <c r="I104" i="5" s="1"/>
  <c r="G104" i="5"/>
  <c r="J106" i="5"/>
  <c r="K102" i="5"/>
  <c r="K99" i="1"/>
  <c r="E102" i="1"/>
  <c r="F102" i="1" s="1"/>
  <c r="G101" i="1"/>
  <c r="H100" i="1"/>
  <c r="L99" i="1"/>
  <c r="I100" i="1" s="1"/>
  <c r="J108" i="1"/>
  <c r="I102" i="4"/>
  <c r="E104" i="4"/>
  <c r="F104" i="4" s="1"/>
  <c r="K101" i="4"/>
  <c r="H102" i="4"/>
  <c r="L102" i="4" s="1"/>
  <c r="G103" i="4"/>
  <c r="E106" i="5" l="1"/>
  <c r="F106" i="5" s="1"/>
  <c r="G105" i="5"/>
  <c r="H104" i="5"/>
  <c r="L104" i="5" s="1"/>
  <c r="I105" i="5" s="1"/>
  <c r="J107" i="5"/>
  <c r="K103" i="5"/>
  <c r="K100" i="1"/>
  <c r="E103" i="1"/>
  <c r="F103" i="1" s="1"/>
  <c r="J109" i="1"/>
  <c r="L100" i="1"/>
  <c r="I101" i="1" s="1"/>
  <c r="H101" i="1"/>
  <c r="G102" i="1"/>
  <c r="I103" i="4"/>
  <c r="E105" i="4"/>
  <c r="F105" i="4" s="1"/>
  <c r="H103" i="4"/>
  <c r="L103" i="4" s="1"/>
  <c r="G104" i="4"/>
  <c r="K102" i="4"/>
  <c r="K104" i="5" l="1"/>
  <c r="E107" i="5"/>
  <c r="F107" i="5" s="1"/>
  <c r="J108" i="5"/>
  <c r="H105" i="5"/>
  <c r="L105" i="5" s="1"/>
  <c r="I106" i="5" s="1"/>
  <c r="G106" i="5"/>
  <c r="K101" i="1"/>
  <c r="E104" i="1"/>
  <c r="F104" i="1" s="1"/>
  <c r="H102" i="1"/>
  <c r="G103" i="1"/>
  <c r="L101" i="1"/>
  <c r="I102" i="1" s="1"/>
  <c r="J110" i="1"/>
  <c r="I104" i="4"/>
  <c r="E106" i="4"/>
  <c r="F106" i="4" s="1"/>
  <c r="G105" i="4"/>
  <c r="H104" i="4"/>
  <c r="L104" i="4" s="1"/>
  <c r="K103" i="4"/>
  <c r="E108" i="5" l="1"/>
  <c r="F108" i="5" s="1"/>
  <c r="G107" i="5"/>
  <c r="H106" i="5"/>
  <c r="L106" i="5" s="1"/>
  <c r="I107" i="5" s="1"/>
  <c r="J109" i="5"/>
  <c r="K105" i="5"/>
  <c r="K102" i="1"/>
  <c r="E105" i="1"/>
  <c r="F105" i="1" s="1"/>
  <c r="J111" i="1"/>
  <c r="G104" i="1"/>
  <c r="H103" i="1"/>
  <c r="L102" i="1"/>
  <c r="I103" i="1" s="1"/>
  <c r="I105" i="4"/>
  <c r="E107" i="4"/>
  <c r="F107" i="4" s="1"/>
  <c r="K104" i="4"/>
  <c r="H105" i="4"/>
  <c r="L105" i="4" s="1"/>
  <c r="G106" i="4"/>
  <c r="E109" i="5" l="1"/>
  <c r="F109" i="5" s="1"/>
  <c r="J110" i="5"/>
  <c r="G108" i="5"/>
  <c r="H107" i="5"/>
  <c r="L107" i="5" s="1"/>
  <c r="I108" i="5" s="1"/>
  <c r="K106" i="5"/>
  <c r="K103" i="1"/>
  <c r="E106" i="1"/>
  <c r="F106" i="1" s="1"/>
  <c r="L103" i="1"/>
  <c r="I104" i="1" s="1"/>
  <c r="H104" i="1"/>
  <c r="G105" i="1"/>
  <c r="J112" i="1"/>
  <c r="I106" i="4"/>
  <c r="E108" i="4"/>
  <c r="F108" i="4" s="1"/>
  <c r="G107" i="4"/>
  <c r="H106" i="4"/>
  <c r="L106" i="4" s="1"/>
  <c r="K105" i="4"/>
  <c r="E110" i="5" l="1"/>
  <c r="F110" i="5" s="1"/>
  <c r="H108" i="5"/>
  <c r="L108" i="5" s="1"/>
  <c r="I109" i="5" s="1"/>
  <c r="G109" i="5"/>
  <c r="J111" i="5"/>
  <c r="K107" i="5"/>
  <c r="K104" i="1"/>
  <c r="E107" i="1"/>
  <c r="F107" i="1" s="1"/>
  <c r="H105" i="1"/>
  <c r="G106" i="1"/>
  <c r="L104" i="1"/>
  <c r="I105" i="1" s="1"/>
  <c r="I107" i="4"/>
  <c r="K106" i="4"/>
  <c r="H107" i="4"/>
  <c r="L107" i="4" s="1"/>
  <c r="G108" i="4"/>
  <c r="E109" i="4"/>
  <c r="F109" i="4" s="1"/>
  <c r="E111" i="5" l="1"/>
  <c r="F111" i="5" s="1"/>
  <c r="H109" i="5"/>
  <c r="L109" i="5" s="1"/>
  <c r="I110" i="5" s="1"/>
  <c r="G110" i="5"/>
  <c r="J112" i="5"/>
  <c r="K108" i="5"/>
  <c r="K105" i="1"/>
  <c r="E108" i="1"/>
  <c r="F108" i="1" s="1"/>
  <c r="L105" i="1"/>
  <c r="I106" i="1" s="1"/>
  <c r="H106" i="1"/>
  <c r="G107" i="1"/>
  <c r="I108" i="4"/>
  <c r="E110" i="4"/>
  <c r="F110" i="4" s="1"/>
  <c r="G109" i="4"/>
  <c r="H108" i="4"/>
  <c r="L108" i="4" s="1"/>
  <c r="K107" i="4"/>
  <c r="E112" i="5" l="1"/>
  <c r="F112" i="5" s="1"/>
  <c r="H110" i="5"/>
  <c r="L110" i="5" s="1"/>
  <c r="I111" i="5" s="1"/>
  <c r="G111" i="5"/>
  <c r="K109" i="5"/>
  <c r="K106" i="1"/>
  <c r="E109" i="1"/>
  <c r="F109" i="1" s="1"/>
  <c r="G108" i="1"/>
  <c r="H107" i="1"/>
  <c r="L106" i="1"/>
  <c r="I107" i="1" s="1"/>
  <c r="I109" i="4"/>
  <c r="E111" i="4"/>
  <c r="F111" i="4" s="1"/>
  <c r="K108" i="4"/>
  <c r="G110" i="4"/>
  <c r="H109" i="4"/>
  <c r="L109" i="4" s="1"/>
  <c r="G112" i="5" l="1"/>
  <c r="H112" i="5" s="1"/>
  <c r="H111" i="5"/>
  <c r="L111" i="5" s="1"/>
  <c r="I112" i="5" s="1"/>
  <c r="K110" i="5"/>
  <c r="K107" i="1"/>
  <c r="E110" i="1"/>
  <c r="F110" i="1" s="1"/>
  <c r="L107" i="1"/>
  <c r="I108" i="1" s="1"/>
  <c r="H108" i="1"/>
  <c r="G109" i="1"/>
  <c r="I110" i="4"/>
  <c r="E112" i="4"/>
  <c r="F112" i="4" s="1"/>
  <c r="H110" i="4"/>
  <c r="L110" i="4" s="1"/>
  <c r="G111" i="4"/>
  <c r="K109" i="4"/>
  <c r="K112" i="5" l="1"/>
  <c r="L112" i="5"/>
  <c r="K111" i="5"/>
  <c r="K108" i="1"/>
  <c r="E111" i="1"/>
  <c r="F111" i="1" s="1"/>
  <c r="G110" i="1"/>
  <c r="H109" i="1"/>
  <c r="L108" i="1"/>
  <c r="I109" i="1" s="1"/>
  <c r="I111" i="4"/>
  <c r="K110" i="4"/>
  <c r="G112" i="4"/>
  <c r="H112" i="4" s="1"/>
  <c r="H111" i="4"/>
  <c r="L111" i="4" s="1"/>
  <c r="K109" i="1" l="1"/>
  <c r="E112" i="1"/>
  <c r="F112" i="1" s="1"/>
  <c r="L109" i="1"/>
  <c r="I110" i="1" s="1"/>
  <c r="H110" i="1"/>
  <c r="G111" i="1"/>
  <c r="I112" i="4"/>
  <c r="K112" i="4" s="1"/>
  <c r="K111" i="4"/>
  <c r="K110" i="1" l="1"/>
  <c r="H111" i="1"/>
  <c r="G112" i="1"/>
  <c r="H112" i="1" s="1"/>
  <c r="L110" i="1"/>
  <c r="I111" i="1" s="1"/>
  <c r="L112" i="4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3" i="1"/>
  <c r="K111" i="1" l="1"/>
  <c r="L111" i="1"/>
  <c r="I112" i="1" s="1"/>
  <c r="K112" i="1" l="1"/>
  <c r="L112" i="1"/>
</calcChain>
</file>

<file path=xl/sharedStrings.xml><?xml version="1.0" encoding="utf-8"?>
<sst xmlns="http://schemas.openxmlformats.org/spreadsheetml/2006/main" count="78" uniqueCount="25">
  <si>
    <t>系统参数</t>
    <phoneticPr fontId="1" type="noConversion"/>
  </si>
  <si>
    <t>更新次数</t>
    <phoneticPr fontId="1" type="noConversion"/>
  </si>
  <si>
    <t>初始参数</t>
    <phoneticPr fontId="1" type="noConversion"/>
  </si>
  <si>
    <t>更新周期t(s)</t>
    <phoneticPr fontId="1" type="noConversion"/>
  </si>
  <si>
    <t>空气阻力系数k(N/(m/s))</t>
    <phoneticPr fontId="1" type="noConversion"/>
  </si>
  <si>
    <t>重力G(N)</t>
    <phoneticPr fontId="1" type="noConversion"/>
  </si>
  <si>
    <t>速度v0(m/s)</t>
    <phoneticPr fontId="1" type="noConversion"/>
  </si>
  <si>
    <t>质量m(kg)</t>
    <phoneticPr fontId="1" type="noConversion"/>
  </si>
  <si>
    <t>位置x0(m)</t>
    <phoneticPr fontId="1" type="noConversion"/>
  </si>
  <si>
    <t>时间t(s)</t>
    <phoneticPr fontId="1" type="noConversion"/>
  </si>
  <si>
    <t>噪声参数</t>
    <phoneticPr fontId="1" type="noConversion"/>
  </si>
  <si>
    <t>位置传感器方差σ_x(m^2)</t>
    <phoneticPr fontId="1" type="noConversion"/>
  </si>
  <si>
    <t>输出力方差σ_F(N^2)</t>
    <phoneticPr fontId="1" type="noConversion"/>
  </si>
  <si>
    <t>目标输出力F(N)</t>
    <phoneticPr fontId="1" type="noConversion"/>
  </si>
  <si>
    <t>物体实际加速度a(m/s^2)</t>
    <phoneticPr fontId="1" type="noConversion"/>
  </si>
  <si>
    <t>物体实际速度v(m/s)</t>
    <phoneticPr fontId="1" type="noConversion"/>
  </si>
  <si>
    <t>物体实际位置x(m)</t>
    <phoneticPr fontId="1" type="noConversion"/>
  </si>
  <si>
    <t>物体传感位置x'(m)//叠噪</t>
    <phoneticPr fontId="1" type="noConversion"/>
  </si>
  <si>
    <t>实际输出力F'(N)//叠噪</t>
    <phoneticPr fontId="1" type="noConversion"/>
  </si>
  <si>
    <t>修正模型位置x-(m)</t>
    <phoneticPr fontId="1" type="noConversion"/>
  </si>
  <si>
    <t>修正模型速度v-(m/s)</t>
    <phoneticPr fontId="1" type="noConversion"/>
  </si>
  <si>
    <t>预判模型速度v~(m/s)</t>
    <phoneticPr fontId="1" type="noConversion"/>
  </si>
  <si>
    <t>预判模型位置x~(m)</t>
    <phoneticPr fontId="1" type="noConversion"/>
  </si>
  <si>
    <t>k_1</t>
    <phoneticPr fontId="1" type="noConversion"/>
  </si>
  <si>
    <t>k_2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</si>
</sst>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  <font>
      <sz val="16"/>
      <color theme="1"/>
      <name val="方正楷体简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176" fontId="0" fillId="0" borderId="1" xfId="0" applyNumberFormat="1" applyBorder="1">
      <alignment vertical="center"/>
    </xf>
    <xf numFmtId="176" fontId="0" fillId="6" borderId="1" xfId="0" applyNumberForma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176" fontId="0" fillId="0" borderId="1" xfId="0" applyNumberForma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恒力!$C$12:$C$112</c:f>
              <c:numCache>
                <c:formatCode>0.000_ </c:formatCode>
                <c:ptCount val="1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F-419A-8FC7-AB25376E3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r>
              <a:rPr lang="zh-CN" altLang="en-US"/>
              <a:t>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恒力!$D$12:$D$112</c:f>
              <c:numCache>
                <c:formatCode>0.000_ </c:formatCode>
                <c:ptCount val="101"/>
                <c:pt idx="0">
                  <c:v>9.9281322742478526</c:v>
                </c:pt>
                <c:pt idx="1">
                  <c:v>10.177039751777107</c:v>
                </c:pt>
                <c:pt idx="2">
                  <c:v>9.9481699691923282</c:v>
                </c:pt>
                <c:pt idx="3">
                  <c:v>9.984560850444117</c:v>
                </c:pt>
                <c:pt idx="4">
                  <c:v>10.130258120139738</c:v>
                </c:pt>
                <c:pt idx="5">
                  <c:v>9.9881764586219788</c:v>
                </c:pt>
                <c:pt idx="6">
                  <c:v>9.888772518110402</c:v>
                </c:pt>
                <c:pt idx="7">
                  <c:v>10.095905146964434</c:v>
                </c:pt>
                <c:pt idx="8">
                  <c:v>10.188410649714687</c:v>
                </c:pt>
                <c:pt idx="9">
                  <c:v>10.103218681633757</c:v>
                </c:pt>
                <c:pt idx="10">
                  <c:v>10.011413735291626</c:v>
                </c:pt>
                <c:pt idx="11">
                  <c:v>10.02026687377842</c:v>
                </c:pt>
                <c:pt idx="12">
                  <c:v>9.9905906680485188</c:v>
                </c:pt>
                <c:pt idx="13">
                  <c:v>10.053968291505566</c:v>
                </c:pt>
                <c:pt idx="14">
                  <c:v>9.9571867372023384</c:v>
                </c:pt>
                <c:pt idx="15">
                  <c:v>10.06047383329266</c:v>
                </c:pt>
                <c:pt idx="16">
                  <c:v>9.8490623957545154</c:v>
                </c:pt>
                <c:pt idx="17">
                  <c:v>9.9753876452973387</c:v>
                </c:pt>
                <c:pt idx="18">
                  <c:v>9.988857058246996</c:v>
                </c:pt>
                <c:pt idx="19">
                  <c:v>10.000666627373539</c:v>
                </c:pt>
                <c:pt idx="20">
                  <c:v>10.082854451234622</c:v>
                </c:pt>
                <c:pt idx="21">
                  <c:v>10.09444274706145</c:v>
                </c:pt>
                <c:pt idx="22">
                  <c:v>9.948322032268436</c:v>
                </c:pt>
                <c:pt idx="23">
                  <c:v>10.230985748077288</c:v>
                </c:pt>
                <c:pt idx="24">
                  <c:v>9.9722530801746778</c:v>
                </c:pt>
                <c:pt idx="25">
                  <c:v>10.003072073658034</c:v>
                </c:pt>
                <c:pt idx="26">
                  <c:v>9.9778534228867564</c:v>
                </c:pt>
                <c:pt idx="27">
                  <c:v>10.014625689578576</c:v>
                </c:pt>
                <c:pt idx="28">
                  <c:v>9.9350605800331007</c:v>
                </c:pt>
                <c:pt idx="29">
                  <c:v>9.9503622006875858</c:v>
                </c:pt>
                <c:pt idx="30">
                  <c:v>10.084588422940616</c:v>
                </c:pt>
                <c:pt idx="31">
                  <c:v>10.111158651759597</c:v>
                </c:pt>
                <c:pt idx="32">
                  <c:v>9.9147739072915329</c:v>
                </c:pt>
                <c:pt idx="33">
                  <c:v>10.085691173645468</c:v>
                </c:pt>
                <c:pt idx="34">
                  <c:v>10.013369160931706</c:v>
                </c:pt>
                <c:pt idx="35">
                  <c:v>10.092657593283702</c:v>
                </c:pt>
                <c:pt idx="36">
                  <c:v>9.9790031926792739</c:v>
                </c:pt>
                <c:pt idx="37">
                  <c:v>10.017776279201264</c:v>
                </c:pt>
                <c:pt idx="38">
                  <c:v>9.9877179154840494</c:v>
                </c:pt>
                <c:pt idx="39">
                  <c:v>9.9882824115687558</c:v>
                </c:pt>
                <c:pt idx="40">
                  <c:v>9.8247996748083466</c:v>
                </c:pt>
                <c:pt idx="41">
                  <c:v>10.001917181738493</c:v>
                </c:pt>
                <c:pt idx="42">
                  <c:v>10.010624606149472</c:v>
                </c:pt>
                <c:pt idx="43">
                  <c:v>10.030958970148165</c:v>
                </c:pt>
                <c:pt idx="44">
                  <c:v>9.9123957248889667</c:v>
                </c:pt>
                <c:pt idx="45">
                  <c:v>9.8500107176683489</c:v>
                </c:pt>
                <c:pt idx="46">
                  <c:v>10.092662153359768</c:v>
                </c:pt>
                <c:pt idx="47">
                  <c:v>10.087245339117914</c:v>
                </c:pt>
                <c:pt idx="48">
                  <c:v>9.852318583918299</c:v>
                </c:pt>
                <c:pt idx="49">
                  <c:v>9.9963012121546413</c:v>
                </c:pt>
                <c:pt idx="50">
                  <c:v>10.067264171937246</c:v>
                </c:pt>
                <c:pt idx="51">
                  <c:v>10.01780330640503</c:v>
                </c:pt>
                <c:pt idx="52">
                  <c:v>10.046927210565016</c:v>
                </c:pt>
                <c:pt idx="53">
                  <c:v>10.077854739731611</c:v>
                </c:pt>
                <c:pt idx="54">
                  <c:v>10.164208858632142</c:v>
                </c:pt>
                <c:pt idx="55">
                  <c:v>10.030406794461555</c:v>
                </c:pt>
                <c:pt idx="56">
                  <c:v>10.0651775888571</c:v>
                </c:pt>
                <c:pt idx="57">
                  <c:v>10.065254593941622</c:v>
                </c:pt>
                <c:pt idx="58">
                  <c:v>10.037409829494971</c:v>
                </c:pt>
                <c:pt idx="59">
                  <c:v>9.9137151902804135</c:v>
                </c:pt>
                <c:pt idx="60">
                  <c:v>10.15394304184912</c:v>
                </c:pt>
                <c:pt idx="61">
                  <c:v>10.089241825546624</c:v>
                </c:pt>
                <c:pt idx="62">
                  <c:v>9.9443681888490811</c:v>
                </c:pt>
                <c:pt idx="63">
                  <c:v>9.7916968821828689</c:v>
                </c:pt>
                <c:pt idx="64">
                  <c:v>10.153087568263253</c:v>
                </c:pt>
                <c:pt idx="65">
                  <c:v>9.8268079118933969</c:v>
                </c:pt>
                <c:pt idx="66">
                  <c:v>10.017014563512525</c:v>
                </c:pt>
                <c:pt idx="67">
                  <c:v>9.9587559936781496</c:v>
                </c:pt>
                <c:pt idx="68">
                  <c:v>9.7441867434165808</c:v>
                </c:pt>
                <c:pt idx="69">
                  <c:v>9.9762349735862905</c:v>
                </c:pt>
                <c:pt idx="70">
                  <c:v>10.054965385413984</c:v>
                </c:pt>
                <c:pt idx="71">
                  <c:v>10.063354172990344</c:v>
                </c:pt>
                <c:pt idx="72">
                  <c:v>9.8427287461059532</c:v>
                </c:pt>
                <c:pt idx="73">
                  <c:v>10.037608750642418</c:v>
                </c:pt>
                <c:pt idx="74">
                  <c:v>9.9249859643256215</c:v>
                </c:pt>
                <c:pt idx="75">
                  <c:v>10.150589031448703</c:v>
                </c:pt>
                <c:pt idx="76">
                  <c:v>9.926241113846217</c:v>
                </c:pt>
                <c:pt idx="77">
                  <c:v>10.011660626156443</c:v>
                </c:pt>
                <c:pt idx="78">
                  <c:v>9.9886987061359331</c:v>
                </c:pt>
                <c:pt idx="79">
                  <c:v>10.231440086306684</c:v>
                </c:pt>
                <c:pt idx="80">
                  <c:v>10.033767262314324</c:v>
                </c:pt>
                <c:pt idx="81">
                  <c:v>9.9997315734130261</c:v>
                </c:pt>
                <c:pt idx="82">
                  <c:v>9.8751050533792668</c:v>
                </c:pt>
                <c:pt idx="83">
                  <c:v>10.073210842905066</c:v>
                </c:pt>
                <c:pt idx="84">
                  <c:v>10.194921378298941</c:v>
                </c:pt>
                <c:pt idx="85">
                  <c:v>9.893739650498782</c:v>
                </c:pt>
                <c:pt idx="86">
                  <c:v>10.036199288820647</c:v>
                </c:pt>
                <c:pt idx="87">
                  <c:v>10.046613368167293</c:v>
                </c:pt>
                <c:pt idx="88">
                  <c:v>10.047016067737161</c:v>
                </c:pt>
                <c:pt idx="89">
                  <c:v>10.110369151824543</c:v>
                </c:pt>
                <c:pt idx="90">
                  <c:v>9.8525349795196497</c:v>
                </c:pt>
                <c:pt idx="91">
                  <c:v>9.8989350403808238</c:v>
                </c:pt>
                <c:pt idx="92">
                  <c:v>10.218832341281805</c:v>
                </c:pt>
                <c:pt idx="93">
                  <c:v>9.9287570144105519</c:v>
                </c:pt>
                <c:pt idx="94">
                  <c:v>9.8729948173780961</c:v>
                </c:pt>
                <c:pt idx="95">
                  <c:v>10.139061066585581</c:v>
                </c:pt>
                <c:pt idx="96">
                  <c:v>10.086305654075806</c:v>
                </c:pt>
                <c:pt idx="97">
                  <c:v>9.9573994022668835</c:v>
                </c:pt>
                <c:pt idx="98">
                  <c:v>9.9555587630269731</c:v>
                </c:pt>
                <c:pt idx="99">
                  <c:v>9.9870237972976188</c:v>
                </c:pt>
                <c:pt idx="100">
                  <c:v>9.9677720711816686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4-46BE-B6C4-08B19DED6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恒力!$E$12:$E$112</c:f>
              <c:numCache>
                <c:formatCode>0.000_ </c:formatCode>
                <c:ptCount val="101"/>
                <c:pt idx="0">
                  <c:v>-7.1867725752147393E-2</c:v>
                </c:pt>
                <c:pt idx="1">
                  <c:v>0.17703975177710696</c:v>
                </c:pt>
                <c:pt idx="2">
                  <c:v>-6.953400598538248E-2</c:v>
                </c:pt>
                <c:pt idx="3">
                  <c:v>-2.618972413505544E-2</c:v>
                </c:pt>
                <c:pt idx="4">
                  <c:v>0.1221265179740708</c:v>
                </c:pt>
                <c:pt idx="5">
                  <c:v>-3.2167795341095207E-2</c:v>
                </c:pt>
                <c:pt idx="6">
                  <c:v>-0.12835495631856242</c:v>
                </c:pt>
                <c:pt idx="7">
                  <c:v>9.1613168167325426E-2</c:v>
                </c:pt>
                <c:pt idx="8">
                  <c:v>0.17495735410084592</c:v>
                </c:pt>
                <c:pt idx="9">
                  <c:v>7.226965060983212E-2</c:v>
                </c:pt>
                <c:pt idx="10">
                  <c:v>-2.6762260793282644E-2</c:v>
                </c:pt>
                <c:pt idx="11">
                  <c:v>-1.5232896227160571E-2</c:v>
                </c:pt>
                <c:pt idx="12">
                  <c:v>-4.3385812334345443E-2</c:v>
                </c:pt>
                <c:pt idx="13">
                  <c:v>2.4330392356135995E-2</c:v>
                </c:pt>
                <c:pt idx="14">
                  <c:v>-7.4884201182704932E-2</c:v>
                </c:pt>
                <c:pt idx="15">
                  <c:v>3.5891315025886945E-2</c:v>
                </c:pt>
                <c:pt idx="16">
                  <c:v>-0.17910925401484615</c:v>
                </c:pt>
                <c:pt idx="17">
                  <c:v>-3.4873079070538215E-2</c:v>
                </c:pt>
                <c:pt idx="18">
                  <c:v>-1.7916358213827088E-2</c:v>
                </c:pt>
                <c:pt idx="19">
                  <c:v>-4.315153265901637E-3</c:v>
                </c:pt>
                <c:pt idx="20">
                  <c:v>7.8304185921772115E-2</c:v>
                </c:pt>
                <c:pt idx="21">
                  <c:v>8.2062063156422532E-2</c:v>
                </c:pt>
                <c:pt idx="22">
                  <c:v>-7.2264857952233641E-2</c:v>
                </c:pt>
                <c:pt idx="23">
                  <c:v>0.21762534365184136</c:v>
                </c:pt>
                <c:pt idx="24">
                  <c:v>-6.2869858615952623E-2</c:v>
                </c:pt>
                <c:pt idx="25">
                  <c:v>-2.5763879271001322E-2</c:v>
                </c:pt>
                <c:pt idx="26">
                  <c:v>-4.8406142115178685E-2</c:v>
                </c:pt>
                <c:pt idx="27">
                  <c:v>-6.79326121184105E-3</c:v>
                </c:pt>
                <c:pt idx="28">
                  <c:v>-8.5679044636132407E-2</c:v>
                </c:pt>
                <c:pt idx="29">
                  <c:v>-6.1809519518034019E-2</c:v>
                </c:pt>
                <c:pt idx="30">
                  <c:v>7.8597654686799537E-2</c:v>
                </c:pt>
                <c:pt idx="31">
                  <c:v>9.7308118037100669E-2</c:v>
                </c:pt>
                <c:pt idx="32">
                  <c:v>-0.10880743823467359</c:v>
                </c:pt>
                <c:pt idx="33">
                  <c:v>7.2990571942729315E-2</c:v>
                </c:pt>
                <c:pt idx="34">
                  <c:v>-6.630497965305876E-3</c:v>
                </c:pt>
                <c:pt idx="35">
                  <c:v>7.3320984183220722E-2</c:v>
                </c:pt>
                <c:pt idx="36">
                  <c:v>-4.7665514839529577E-2</c:v>
                </c:pt>
                <c:pt idx="37">
                  <c:v>-4.1258768335862075E-3</c:v>
                </c:pt>
                <c:pt idx="38">
                  <c:v>-3.377165286744252E-2</c:v>
                </c:pt>
                <c:pt idx="39">
                  <c:v>-2.9829991495991831E-2</c:v>
                </c:pt>
                <c:pt idx="40">
                  <c:v>-0.1903297291068019</c:v>
                </c:pt>
                <c:pt idx="41">
                  <c:v>5.8207507340250104E-3</c:v>
                </c:pt>
                <c:pt idx="42">
                  <c:v>1.3946100071601113E-2</c:v>
                </c:pt>
                <c:pt idx="43">
                  <c:v>3.2885854063133595E-2</c:v>
                </c:pt>
                <c:pt idx="44">
                  <c:v>-8.8965976602377581E-2</c:v>
                </c:pt>
                <c:pt idx="45">
                  <c:v>-0.1424543861627576</c:v>
                </c:pt>
                <c:pt idx="46">
                  <c:v>0.11444248814493749</c:v>
                </c:pt>
                <c:pt idx="47">
                  <c:v>9.7581425088589038E-2</c:v>
                </c:pt>
                <c:pt idx="48">
                  <c:v>-0.14710347261988446</c:v>
                </c:pt>
                <c:pt idx="49">
                  <c:v>1.1589502878446329E-2</c:v>
                </c:pt>
                <c:pt idx="50">
                  <c:v>8.1393512373206842E-2</c:v>
                </c:pt>
                <c:pt idx="51">
                  <c:v>2.3793295603669749E-2</c:v>
                </c:pt>
                <c:pt idx="52">
                  <c:v>5.0537870203288995E-2</c:v>
                </c:pt>
                <c:pt idx="53">
                  <c:v>7.6411612349555236E-2</c:v>
                </c:pt>
                <c:pt idx="54">
                  <c:v>0.15512457001513005</c:v>
                </c:pt>
                <c:pt idx="55">
                  <c:v>5.8100488430306782E-3</c:v>
                </c:pt>
                <c:pt idx="56">
                  <c:v>3.9999838354272482E-2</c:v>
                </c:pt>
                <c:pt idx="57">
                  <c:v>3.607685960336747E-2</c:v>
                </c:pt>
                <c:pt idx="58">
                  <c:v>4.6244091963789855E-3</c:v>
                </c:pt>
                <c:pt idx="59">
                  <c:v>-0.11953267093781617</c:v>
                </c:pt>
                <c:pt idx="60">
                  <c:v>0.13264844772467163</c:v>
                </c:pt>
                <c:pt idx="61">
                  <c:v>5.4682386649709105E-2</c:v>
                </c:pt>
                <c:pt idx="62">
                  <c:v>-9.5659488712804969E-2</c:v>
                </c:pt>
                <c:pt idx="63">
                  <c:v>-0.23876484650773666</c:v>
                </c:pt>
                <c:pt idx="64">
                  <c:v>0.14650232422342072</c:v>
                </c:pt>
                <c:pt idx="65">
                  <c:v>-0.19442756456877713</c:v>
                </c:pt>
                <c:pt idx="66">
                  <c:v>1.5221843507228876E-2</c:v>
                </c:pt>
                <c:pt idx="67">
                  <c:v>-4.4558910677869615E-2</c:v>
                </c:pt>
                <c:pt idx="68">
                  <c:v>-0.25467226987165148</c:v>
                </c:pt>
                <c:pt idx="69">
                  <c:v>2.843187285223453E-3</c:v>
                </c:pt>
                <c:pt idx="70">
                  <c:v>8.1289280384395021E-2</c:v>
                </c:pt>
                <c:pt idx="71">
                  <c:v>8.1549139922315272E-2</c:v>
                </c:pt>
                <c:pt idx="72">
                  <c:v>-0.14723120095430728</c:v>
                </c:pt>
                <c:pt idx="73">
                  <c:v>6.237192367758837E-2</c:v>
                </c:pt>
                <c:pt idx="74">
                  <c:v>-5.6488055006967033E-2</c:v>
                </c:pt>
                <c:pt idx="75">
                  <c:v>0.17476381761681142</c:v>
                </c:pt>
                <c:pt idx="76">
                  <c:v>-6.7060481747356002E-2</c:v>
                </c:pt>
                <c:pt idx="77">
                  <c:v>2.5065078737605748E-2</c:v>
                </c:pt>
                <c:pt idx="78">
                  <c:v>-4.0334915666483465E-4</c:v>
                </c:pt>
                <c:pt idx="79">
                  <c:v>0.24237836592975218</c:v>
                </c:pt>
                <c:pt idx="80">
                  <c:v>2.0467705344417435E-2</c:v>
                </c:pt>
                <c:pt idx="81">
                  <c:v>-1.5614754091322354E-2</c:v>
                </c:pt>
                <c:pt idx="82">
                  <c:v>-0.1386797987159494</c:v>
                </c:pt>
                <c:pt idx="83">
                  <c:v>7.3293970681444914E-2</c:v>
                </c:pt>
                <c:pt idx="84">
                  <c:v>0.18767510900717563</c:v>
                </c:pt>
                <c:pt idx="85">
                  <c:v>-0.13227412969370131</c:v>
                </c:pt>
                <c:pt idx="86">
                  <c:v>2.3412921597534067E-2</c:v>
                </c:pt>
                <c:pt idx="87">
                  <c:v>3.1485708784426282E-2</c:v>
                </c:pt>
                <c:pt idx="88">
                  <c:v>2.8739837475851703E-2</c:v>
                </c:pt>
                <c:pt idx="89">
                  <c:v>8.9218937815648242E-2</c:v>
                </c:pt>
                <c:pt idx="90">
                  <c:v>-0.1775371282708095</c:v>
                </c:pt>
                <c:pt idx="91">
                  <c:v>-0.11338335458255444</c:v>
                </c:pt>
                <c:pt idx="92">
                  <c:v>0.21785228177668256</c:v>
                </c:pt>
                <c:pt idx="93">
                  <c:v>-9.4008273272239179E-2</c:v>
                </c:pt>
                <c:pt idx="94">
                  <c:v>-0.14036964297747104</c:v>
                </c:pt>
                <c:pt idx="95">
                  <c:v>0.13973357052776131</c:v>
                </c:pt>
                <c:pt idx="96">
                  <c:v>7.3004800965210059E-2</c:v>
                </c:pt>
                <c:pt idx="97">
                  <c:v>-6.3201930940233741E-2</c:v>
                </c:pt>
                <c:pt idx="98">
                  <c:v>-5.8722377086120769E-2</c:v>
                </c:pt>
                <c:pt idx="99">
                  <c:v>-2.1385105106862961E-2</c:v>
                </c:pt>
                <c:pt idx="100">
                  <c:v>-3.8498320712126825E-2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1-4F04-BF68-210FCF53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13792"/>
        <c:axId val="455519552"/>
      </c:lineChart>
      <c:catAx>
        <c:axId val="45551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9552"/>
        <c:crosses val="autoZero"/>
        <c:auto val="1"/>
        <c:lblAlgn val="ctr"/>
        <c:lblOffset val="100"/>
        <c:noMultiLvlLbl val="0"/>
      </c:catAx>
      <c:valAx>
        <c:axId val="4555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恒力!$F$12:$F$112</c:f>
              <c:numCache>
                <c:formatCode>0.000_ </c:formatCode>
                <c:ptCount val="101"/>
                <c:pt idx="0">
                  <c:v>0</c:v>
                </c:pt>
                <c:pt idx="1">
                  <c:v>1.7703975177710697E-2</c:v>
                </c:pt>
                <c:pt idx="2">
                  <c:v>1.0750574579172448E-2</c:v>
                </c:pt>
                <c:pt idx="3">
                  <c:v>8.1316021656669037E-3</c:v>
                </c:pt>
                <c:pt idx="4">
                  <c:v>2.0344253963073985E-2</c:v>
                </c:pt>
                <c:pt idx="5">
                  <c:v>1.7127474428964465E-2</c:v>
                </c:pt>
                <c:pt idx="6">
                  <c:v>4.2919787971082216E-3</c:v>
                </c:pt>
                <c:pt idx="7">
                  <c:v>1.3453295613840765E-2</c:v>
                </c:pt>
                <c:pt idx="8">
                  <c:v>3.0949031023925357E-2</c:v>
                </c:pt>
                <c:pt idx="9">
                  <c:v>3.817599608490857E-2</c:v>
                </c:pt>
                <c:pt idx="10">
                  <c:v>3.5499770005580307E-2</c:v>
                </c:pt>
                <c:pt idx="11">
                  <c:v>3.3976480382864251E-2</c:v>
                </c:pt>
                <c:pt idx="12">
                  <c:v>2.9637899149429707E-2</c:v>
                </c:pt>
                <c:pt idx="13">
                  <c:v>3.207093838504331E-2</c:v>
                </c:pt>
                <c:pt idx="14">
                  <c:v>2.4582518266772817E-2</c:v>
                </c:pt>
                <c:pt idx="15">
                  <c:v>2.8171649769361512E-2</c:v>
                </c:pt>
                <c:pt idx="16">
                  <c:v>1.0260724367876898E-2</c:v>
                </c:pt>
                <c:pt idx="17">
                  <c:v>6.7734164608230767E-3</c:v>
                </c:pt>
                <c:pt idx="18">
                  <c:v>4.9817806394403677E-3</c:v>
                </c:pt>
                <c:pt idx="19">
                  <c:v>4.5502653128502036E-3</c:v>
                </c:pt>
                <c:pt idx="20">
                  <c:v>1.2380683905027416E-2</c:v>
                </c:pt>
                <c:pt idx="21">
                  <c:v>2.058689022066967E-2</c:v>
                </c:pt>
                <c:pt idx="22">
                  <c:v>1.3360404425446306E-2</c:v>
                </c:pt>
                <c:pt idx="23">
                  <c:v>3.5122938790630442E-2</c:v>
                </c:pt>
                <c:pt idx="24">
                  <c:v>2.883595292903518E-2</c:v>
                </c:pt>
                <c:pt idx="25">
                  <c:v>2.6259565001935048E-2</c:v>
                </c:pt>
                <c:pt idx="26">
                  <c:v>2.1418950790417179E-2</c:v>
                </c:pt>
                <c:pt idx="27">
                  <c:v>2.0739624669233073E-2</c:v>
                </c:pt>
                <c:pt idx="28">
                  <c:v>1.2171720205619832E-2</c:v>
                </c:pt>
                <c:pt idx="29">
                  <c:v>5.9907682538164302E-3</c:v>
                </c:pt>
                <c:pt idx="30">
                  <c:v>1.3850533722496384E-2</c:v>
                </c:pt>
                <c:pt idx="31">
                  <c:v>2.358134552620645E-2</c:v>
                </c:pt>
                <c:pt idx="32">
                  <c:v>1.270060170273909E-2</c:v>
                </c:pt>
                <c:pt idx="33">
                  <c:v>1.9999658897012024E-2</c:v>
                </c:pt>
                <c:pt idx="34">
                  <c:v>1.9336609100481437E-2</c:v>
                </c:pt>
                <c:pt idx="35">
                  <c:v>2.666870751880351E-2</c:v>
                </c:pt>
                <c:pt idx="36">
                  <c:v>2.1902156034850552E-2</c:v>
                </c:pt>
                <c:pt idx="37">
                  <c:v>2.148956835149193E-2</c:v>
                </c:pt>
                <c:pt idx="38">
                  <c:v>1.8112403064747679E-2</c:v>
                </c:pt>
                <c:pt idx="39">
                  <c:v>1.5129403915148495E-2</c:v>
                </c:pt>
                <c:pt idx="40">
                  <c:v>-3.9035689955316984E-3</c:v>
                </c:pt>
                <c:pt idx="41">
                  <c:v>-3.3214939221291972E-3</c:v>
                </c:pt>
                <c:pt idx="42">
                  <c:v>-1.9268839149690859E-3</c:v>
                </c:pt>
                <c:pt idx="43">
                  <c:v>1.361701491344274E-3</c:v>
                </c:pt>
                <c:pt idx="44">
                  <c:v>-7.5348961688934835E-3</c:v>
                </c:pt>
                <c:pt idx="45">
                  <c:v>-2.1780334785169244E-2</c:v>
                </c:pt>
                <c:pt idx="46">
                  <c:v>-1.0336085970675495E-2</c:v>
                </c:pt>
                <c:pt idx="47">
                  <c:v>-5.7794346181659108E-4</c:v>
                </c:pt>
                <c:pt idx="48">
                  <c:v>-1.5288290723805038E-2</c:v>
                </c:pt>
                <c:pt idx="49">
                  <c:v>-1.4129340435960406E-2</c:v>
                </c:pt>
                <c:pt idx="50">
                  <c:v>-5.9899891986397204E-3</c:v>
                </c:pt>
                <c:pt idx="51">
                  <c:v>-3.6106596382727454E-3</c:v>
                </c:pt>
                <c:pt idx="52">
                  <c:v>1.4431273820561543E-3</c:v>
                </c:pt>
                <c:pt idx="53">
                  <c:v>9.084288617011679E-3</c:v>
                </c:pt>
                <c:pt idx="54">
                  <c:v>2.4596745618524686E-2</c:v>
                </c:pt>
                <c:pt idx="55">
                  <c:v>2.5177750502827754E-2</c:v>
                </c:pt>
                <c:pt idx="56">
                  <c:v>2.9177734338255004E-2</c:v>
                </c:pt>
                <c:pt idx="57">
                  <c:v>3.2785420298591751E-2</c:v>
                </c:pt>
                <c:pt idx="58">
                  <c:v>3.3247861218229646E-2</c:v>
                </c:pt>
                <c:pt idx="59">
                  <c:v>2.1294594124448028E-2</c:v>
                </c:pt>
                <c:pt idx="60">
                  <c:v>3.4559438896915193E-2</c:v>
                </c:pt>
                <c:pt idx="61">
                  <c:v>4.0027677561886105E-2</c:v>
                </c:pt>
                <c:pt idx="62">
                  <c:v>3.0461728690605608E-2</c:v>
                </c:pt>
                <c:pt idx="63">
                  <c:v>6.5852440398319403E-3</c:v>
                </c:pt>
                <c:pt idx="64">
                  <c:v>2.1235476462174011E-2</c:v>
                </c:pt>
                <c:pt idx="65">
                  <c:v>1.7927200052962958E-3</c:v>
                </c:pt>
                <c:pt idx="66">
                  <c:v>3.3149043560191833E-3</c:v>
                </c:pt>
                <c:pt idx="67">
                  <c:v>-1.1409867117677785E-3</c:v>
                </c:pt>
                <c:pt idx="68">
                  <c:v>-2.6608213698932931E-2</c:v>
                </c:pt>
                <c:pt idx="69">
                  <c:v>-2.6323894970410586E-2</c:v>
                </c:pt>
                <c:pt idx="70">
                  <c:v>-1.8194966931971084E-2</c:v>
                </c:pt>
                <c:pt idx="71">
                  <c:v>-1.0040052939739556E-2</c:v>
                </c:pt>
                <c:pt idx="72">
                  <c:v>-2.4763173035170283E-2</c:v>
                </c:pt>
                <c:pt idx="73">
                  <c:v>-1.8525980667411446E-2</c:v>
                </c:pt>
                <c:pt idx="74">
                  <c:v>-2.4174786168108149E-2</c:v>
                </c:pt>
                <c:pt idx="75">
                  <c:v>-6.6984044064270047E-3</c:v>
                </c:pt>
                <c:pt idx="76">
                  <c:v>-1.3404452581162605E-2</c:v>
                </c:pt>
                <c:pt idx="77">
                  <c:v>-1.0897944707402029E-2</c:v>
                </c:pt>
                <c:pt idx="78">
                  <c:v>-1.0938279623068512E-2</c:v>
                </c:pt>
                <c:pt idx="79">
                  <c:v>1.3299556969906708E-2</c:v>
                </c:pt>
                <c:pt idx="80">
                  <c:v>1.5346327504348452E-2</c:v>
                </c:pt>
                <c:pt idx="81">
                  <c:v>1.3784852095216217E-2</c:v>
                </c:pt>
                <c:pt idx="82">
                  <c:v>-8.3127776378724011E-5</c:v>
                </c:pt>
                <c:pt idx="83">
                  <c:v>7.2462692917657674E-3</c:v>
                </c:pt>
                <c:pt idx="84">
                  <c:v>2.6013780192483332E-2</c:v>
                </c:pt>
                <c:pt idx="85">
                  <c:v>1.27863672231132E-2</c:v>
                </c:pt>
                <c:pt idx="86">
                  <c:v>1.5127659382866606E-2</c:v>
                </c:pt>
                <c:pt idx="87">
                  <c:v>1.8276230261309236E-2</c:v>
                </c:pt>
                <c:pt idx="88">
                  <c:v>2.1150214008894407E-2</c:v>
                </c:pt>
                <c:pt idx="89">
                  <c:v>3.0072107790459233E-2</c:v>
                </c:pt>
                <c:pt idx="90">
                  <c:v>1.2318394963378283E-2</c:v>
                </c:pt>
                <c:pt idx="91">
                  <c:v>9.8005950512283779E-4</c:v>
                </c:pt>
                <c:pt idx="92">
                  <c:v>2.2765287682791097E-2</c:v>
                </c:pt>
                <c:pt idx="93">
                  <c:v>1.3364460355567178E-2</c:v>
                </c:pt>
                <c:pt idx="94">
                  <c:v>-6.7250394217992573E-4</c:v>
                </c:pt>
                <c:pt idx="95">
                  <c:v>1.3300853110596205E-2</c:v>
                </c:pt>
                <c:pt idx="96">
                  <c:v>2.0601333207117212E-2</c:v>
                </c:pt>
                <c:pt idx="97">
                  <c:v>1.4281140113093838E-2</c:v>
                </c:pt>
                <c:pt idx="98">
                  <c:v>8.4089024044817599E-3</c:v>
                </c:pt>
                <c:pt idx="99">
                  <c:v>6.2703918937954631E-3</c:v>
                </c:pt>
                <c:pt idx="100">
                  <c:v>2.4205598225827806E-3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3-455A-A87C-35E189183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恒力!$G$12:$G$112</c:f>
              <c:numCache>
                <c:formatCode>0.000_ </c:formatCode>
                <c:ptCount val="101"/>
                <c:pt idx="0">
                  <c:v>0</c:v>
                </c:pt>
                <c:pt idx="1">
                  <c:v>1.7703975177710699E-3</c:v>
                </c:pt>
                <c:pt idx="2">
                  <c:v>2.8454549756883147E-3</c:v>
                </c:pt>
                <c:pt idx="3">
                  <c:v>3.6586151922550049E-3</c:v>
                </c:pt>
                <c:pt idx="4">
                  <c:v>5.6930405885624036E-3</c:v>
                </c:pt>
                <c:pt idx="5">
                  <c:v>7.4057880314588502E-3</c:v>
                </c:pt>
                <c:pt idx="6">
                  <c:v>7.8349859111696719E-3</c:v>
                </c:pt>
                <c:pt idx="7">
                  <c:v>9.1803154725537475E-3</c:v>
                </c:pt>
                <c:pt idx="8">
                  <c:v>1.2275218574946282E-2</c:v>
                </c:pt>
                <c:pt idx="9">
                  <c:v>1.6092818183437139E-2</c:v>
                </c:pt>
                <c:pt idx="10">
                  <c:v>1.9642795183995171E-2</c:v>
                </c:pt>
                <c:pt idx="11">
                  <c:v>2.3040443222281597E-2</c:v>
                </c:pt>
                <c:pt idx="12">
                  <c:v>2.6004233137224567E-2</c:v>
                </c:pt>
                <c:pt idx="13">
                  <c:v>2.9211326975728896E-2</c:v>
                </c:pt>
                <c:pt idx="14">
                  <c:v>3.166957880240618E-2</c:v>
                </c:pt>
                <c:pt idx="15">
                  <c:v>3.4486743779342334E-2</c:v>
                </c:pt>
                <c:pt idx="16">
                  <c:v>3.5512816216130026E-2</c:v>
                </c:pt>
                <c:pt idx="17">
                  <c:v>3.6190157862212337E-2</c:v>
                </c:pt>
                <c:pt idx="18">
                  <c:v>3.6688335926156376E-2</c:v>
                </c:pt>
                <c:pt idx="19">
                  <c:v>3.7143362457441396E-2</c:v>
                </c:pt>
                <c:pt idx="20">
                  <c:v>3.838143084794414E-2</c:v>
                </c:pt>
                <c:pt idx="21">
                  <c:v>4.0440119870011108E-2</c:v>
                </c:pt>
                <c:pt idx="22">
                  <c:v>4.1776160312555738E-2</c:v>
                </c:pt>
                <c:pt idx="23">
                  <c:v>4.5288454191618782E-2</c:v>
                </c:pt>
                <c:pt idx="24">
                  <c:v>4.8172049484522299E-2</c:v>
                </c:pt>
                <c:pt idx="25">
                  <c:v>5.0798005984715802E-2</c:v>
                </c:pt>
                <c:pt idx="26">
                  <c:v>5.2939901063757518E-2</c:v>
                </c:pt>
                <c:pt idx="27">
                  <c:v>5.5013863530680822E-2</c:v>
                </c:pt>
                <c:pt idx="28">
                  <c:v>5.6231035551242807E-2</c:v>
                </c:pt>
                <c:pt idx="29">
                  <c:v>5.6830112376624449E-2</c:v>
                </c:pt>
                <c:pt idx="30">
                  <c:v>5.8215165748874087E-2</c:v>
                </c:pt>
                <c:pt idx="31">
                  <c:v>6.0573300301494729E-2</c:v>
                </c:pt>
                <c:pt idx="32">
                  <c:v>6.1843360471768638E-2</c:v>
                </c:pt>
                <c:pt idx="33">
                  <c:v>6.3843326361469846E-2</c:v>
                </c:pt>
                <c:pt idx="34">
                  <c:v>6.5776987271517984E-2</c:v>
                </c:pt>
                <c:pt idx="35">
                  <c:v>6.8443858023398335E-2</c:v>
                </c:pt>
                <c:pt idx="36">
                  <c:v>7.0634073626883384E-2</c:v>
                </c:pt>
                <c:pt idx="37">
                  <c:v>7.2783030462032577E-2</c:v>
                </c:pt>
                <c:pt idx="38">
                  <c:v>7.4594270768507345E-2</c:v>
                </c:pt>
                <c:pt idx="39">
                  <c:v>7.6107211160022198E-2</c:v>
                </c:pt>
                <c:pt idx="40">
                  <c:v>7.5716854260469021E-2</c:v>
                </c:pt>
                <c:pt idx="41">
                  <c:v>7.5384704868256103E-2</c:v>
                </c:pt>
                <c:pt idx="42">
                  <c:v>7.5192016476759188E-2</c:v>
                </c:pt>
                <c:pt idx="43">
                  <c:v>7.532818662589362E-2</c:v>
                </c:pt>
                <c:pt idx="44">
                  <c:v>7.4574697009004265E-2</c:v>
                </c:pt>
                <c:pt idx="45">
                  <c:v>7.2396663530487335E-2</c:v>
                </c:pt>
                <c:pt idx="46">
                  <c:v>7.1363054933419781E-2</c:v>
                </c:pt>
                <c:pt idx="47">
                  <c:v>7.1305260587238128E-2</c:v>
                </c:pt>
                <c:pt idx="48">
                  <c:v>6.9776431514857629E-2</c:v>
                </c:pt>
                <c:pt idx="49">
                  <c:v>6.8363497471261594E-2</c:v>
                </c:pt>
                <c:pt idx="50">
                  <c:v>6.7764498551397628E-2</c:v>
                </c:pt>
                <c:pt idx="51">
                  <c:v>6.7403432587570353E-2</c:v>
                </c:pt>
                <c:pt idx="52">
                  <c:v>6.7547745325775968E-2</c:v>
                </c:pt>
                <c:pt idx="53">
                  <c:v>6.845617418747714E-2</c:v>
                </c:pt>
                <c:pt idx="54">
                  <c:v>7.0915848749329602E-2</c:v>
                </c:pt>
                <c:pt idx="55">
                  <c:v>7.343362379961238E-2</c:v>
                </c:pt>
                <c:pt idx="56">
                  <c:v>7.6351397233437882E-2</c:v>
                </c:pt>
                <c:pt idx="57">
                  <c:v>7.9629939263297062E-2</c:v>
                </c:pt>
                <c:pt idx="58">
                  <c:v>8.2954725385120026E-2</c:v>
                </c:pt>
                <c:pt idx="59">
                  <c:v>8.5084184797564827E-2</c:v>
                </c:pt>
                <c:pt idx="60">
                  <c:v>8.8540128687256345E-2</c:v>
                </c:pt>
                <c:pt idx="61">
                  <c:v>9.2542896443444961E-2</c:v>
                </c:pt>
                <c:pt idx="62">
                  <c:v>9.558906931250552E-2</c:v>
                </c:pt>
                <c:pt idx="63">
                  <c:v>9.6247593716488708E-2</c:v>
                </c:pt>
                <c:pt idx="64">
                  <c:v>9.837114136270611E-2</c:v>
                </c:pt>
                <c:pt idx="65">
                  <c:v>9.8550413363235737E-2</c:v>
                </c:pt>
                <c:pt idx="66">
                  <c:v>9.8881903798837656E-2</c:v>
                </c:pt>
                <c:pt idx="67">
                  <c:v>9.8767805127660882E-2</c:v>
                </c:pt>
                <c:pt idx="68">
                  <c:v>9.6106983757767592E-2</c:v>
                </c:pt>
                <c:pt idx="69">
                  <c:v>9.3474594260726532E-2</c:v>
                </c:pt>
                <c:pt idx="70">
                  <c:v>9.1655097567529417E-2</c:v>
                </c:pt>
                <c:pt idx="71">
                  <c:v>9.0651092273555459E-2</c:v>
                </c:pt>
                <c:pt idx="72">
                  <c:v>8.8174774970038436E-2</c:v>
                </c:pt>
                <c:pt idx="73">
                  <c:v>8.6322176903297285E-2</c:v>
                </c:pt>
                <c:pt idx="74">
                  <c:v>8.3904698286486473E-2</c:v>
                </c:pt>
                <c:pt idx="75">
                  <c:v>8.3234857845843779E-2</c:v>
                </c:pt>
                <c:pt idx="76">
                  <c:v>8.1894412587727519E-2</c:v>
                </c:pt>
                <c:pt idx="77">
                  <c:v>8.0804618116987317E-2</c:v>
                </c:pt>
                <c:pt idx="78">
                  <c:v>7.9710790154680466E-2</c:v>
                </c:pt>
                <c:pt idx="79">
                  <c:v>8.1040745851671134E-2</c:v>
                </c:pt>
                <c:pt idx="80">
                  <c:v>8.2575378602105981E-2</c:v>
                </c:pt>
                <c:pt idx="81">
                  <c:v>8.3953863811627602E-2</c:v>
                </c:pt>
                <c:pt idx="82">
                  <c:v>8.3945551033989735E-2</c:v>
                </c:pt>
                <c:pt idx="83">
                  <c:v>8.467017796316631E-2</c:v>
                </c:pt>
                <c:pt idx="84">
                  <c:v>8.727155598241465E-2</c:v>
                </c:pt>
                <c:pt idx="85">
                  <c:v>8.8550192704725972E-2</c:v>
                </c:pt>
                <c:pt idx="86">
                  <c:v>9.0062958643012628E-2</c:v>
                </c:pt>
                <c:pt idx="87">
                  <c:v>9.1890581669143545E-2</c:v>
                </c:pt>
                <c:pt idx="88">
                  <c:v>9.4005603070032986E-2</c:v>
                </c:pt>
                <c:pt idx="89">
                  <c:v>9.7012813849078908E-2</c:v>
                </c:pt>
                <c:pt idx="90">
                  <c:v>9.8244653345416738E-2</c:v>
                </c:pt>
                <c:pt idx="91">
                  <c:v>9.8342659295929016E-2</c:v>
                </c:pt>
                <c:pt idx="92">
                  <c:v>0.10061918806420812</c:v>
                </c:pt>
                <c:pt idx="93">
                  <c:v>0.10195563409976484</c:v>
                </c:pt>
                <c:pt idx="94">
                  <c:v>0.10188838370554684</c:v>
                </c:pt>
                <c:pt idx="95">
                  <c:v>0.10321846901660646</c:v>
                </c:pt>
                <c:pt idx="96">
                  <c:v>0.10527860233731819</c:v>
                </c:pt>
                <c:pt idx="97">
                  <c:v>0.10670671634862756</c:v>
                </c:pt>
                <c:pt idx="98">
                  <c:v>0.10754760658907574</c:v>
                </c:pt>
                <c:pt idx="99">
                  <c:v>0.10817464577845529</c:v>
                </c:pt>
                <c:pt idx="100">
                  <c:v>0.10841670176071357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6-4E66-B120-ADB94602C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x'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恒力!$H$12:$H$112</c:f>
              <c:numCache>
                <c:formatCode>0.000_ </c:formatCode>
                <c:ptCount val="101"/>
                <c:pt idx="0">
                  <c:v>2.2047682223130687E-3</c:v>
                </c:pt>
                <c:pt idx="1">
                  <c:v>-1.1322772155152164E-2</c:v>
                </c:pt>
                <c:pt idx="2">
                  <c:v>4.2306464007343773E-3</c:v>
                </c:pt>
                <c:pt idx="3">
                  <c:v>4.7568984640506441E-3</c:v>
                </c:pt>
                <c:pt idx="4">
                  <c:v>1.5006333064501321E-3</c:v>
                </c:pt>
                <c:pt idx="5">
                  <c:v>-8.8252979383990262E-4</c:v>
                </c:pt>
                <c:pt idx="6">
                  <c:v>6.3698140897792384E-3</c:v>
                </c:pt>
                <c:pt idx="7">
                  <c:v>1.5970702741873302E-2</c:v>
                </c:pt>
                <c:pt idx="8">
                  <c:v>1.5496990068553046E-2</c:v>
                </c:pt>
                <c:pt idx="9">
                  <c:v>3.8696247272827444E-2</c:v>
                </c:pt>
                <c:pt idx="10">
                  <c:v>-5.2423264019648592E-3</c:v>
                </c:pt>
                <c:pt idx="11">
                  <c:v>3.8424136412804719E-2</c:v>
                </c:pt>
                <c:pt idx="12">
                  <c:v>3.7784579738478256E-2</c:v>
                </c:pt>
                <c:pt idx="13">
                  <c:v>3.3433653083647479E-2</c:v>
                </c:pt>
                <c:pt idx="14">
                  <c:v>4.1892151587782984E-2</c:v>
                </c:pt>
                <c:pt idx="15">
                  <c:v>4.4553377975677849E-2</c:v>
                </c:pt>
                <c:pt idx="16">
                  <c:v>2.5551297264279418E-2</c:v>
                </c:pt>
                <c:pt idx="17">
                  <c:v>6.0226103346351825E-2</c:v>
                </c:pt>
                <c:pt idx="18">
                  <c:v>1.9832062258912188E-2</c:v>
                </c:pt>
                <c:pt idx="19">
                  <c:v>3.397224490116578E-2</c:v>
                </c:pt>
                <c:pt idx="20">
                  <c:v>4.4798854664436033E-2</c:v>
                </c:pt>
                <c:pt idx="21">
                  <c:v>3.9239033873346381E-2</c:v>
                </c:pt>
                <c:pt idx="22">
                  <c:v>4.2639756882579379E-2</c:v>
                </c:pt>
                <c:pt idx="23">
                  <c:v>4.4726458158748844E-2</c:v>
                </c:pt>
                <c:pt idx="24">
                  <c:v>4.0519051247725701E-2</c:v>
                </c:pt>
                <c:pt idx="25">
                  <c:v>4.6443506817898619E-2</c:v>
                </c:pt>
                <c:pt idx="26">
                  <c:v>5.4108907897931637E-2</c:v>
                </c:pt>
                <c:pt idx="27">
                  <c:v>4.8049524752033612E-2</c:v>
                </c:pt>
                <c:pt idx="28">
                  <c:v>7.6256376111182328E-2</c:v>
                </c:pt>
                <c:pt idx="29">
                  <c:v>7.4093763226766321E-2</c:v>
                </c:pt>
                <c:pt idx="30">
                  <c:v>6.3548997108795927E-2</c:v>
                </c:pt>
                <c:pt idx="31">
                  <c:v>4.753421381476633E-2</c:v>
                </c:pt>
                <c:pt idx="32">
                  <c:v>6.7300531866226199E-2</c:v>
                </c:pt>
                <c:pt idx="33">
                  <c:v>5.7071387113936022E-2</c:v>
                </c:pt>
                <c:pt idx="34">
                  <c:v>7.4038164931850503E-2</c:v>
                </c:pt>
                <c:pt idx="35">
                  <c:v>6.1047231563481928E-2</c:v>
                </c:pt>
                <c:pt idx="36">
                  <c:v>6.3887258229075539E-2</c:v>
                </c:pt>
                <c:pt idx="37">
                  <c:v>9.1819387453810769E-2</c:v>
                </c:pt>
                <c:pt idx="38">
                  <c:v>7.2486814903195126E-2</c:v>
                </c:pt>
                <c:pt idx="39">
                  <c:v>8.5457542422863297E-2</c:v>
                </c:pt>
                <c:pt idx="40">
                  <c:v>7.3296603401037774E-2</c:v>
                </c:pt>
                <c:pt idx="41">
                  <c:v>9.3594424278458724E-2</c:v>
                </c:pt>
                <c:pt idx="42">
                  <c:v>8.2325119060617444E-2</c:v>
                </c:pt>
                <c:pt idx="43">
                  <c:v>6.9584757718248402E-2</c:v>
                </c:pt>
                <c:pt idx="44">
                  <c:v>6.513318291201188E-2</c:v>
                </c:pt>
                <c:pt idx="45">
                  <c:v>6.7444860319616148E-2</c:v>
                </c:pt>
                <c:pt idx="46">
                  <c:v>6.807228435189018E-2</c:v>
                </c:pt>
                <c:pt idx="47">
                  <c:v>8.0937675898413178E-2</c:v>
                </c:pt>
                <c:pt idx="48">
                  <c:v>7.6395788611815479E-2</c:v>
                </c:pt>
                <c:pt idx="49">
                  <c:v>5.9925008705009955E-2</c:v>
                </c:pt>
                <c:pt idx="50">
                  <c:v>6.3296492250204617E-2</c:v>
                </c:pt>
                <c:pt idx="51">
                  <c:v>8.4996961727605291E-2</c:v>
                </c:pt>
                <c:pt idx="52">
                  <c:v>8.226920725027756E-2</c:v>
                </c:pt>
                <c:pt idx="53">
                  <c:v>6.0861489965463228E-2</c:v>
                </c:pt>
                <c:pt idx="54">
                  <c:v>6.0403114489817361E-2</c:v>
                </c:pt>
                <c:pt idx="55">
                  <c:v>8.4565775025672404E-2</c:v>
                </c:pt>
                <c:pt idx="56">
                  <c:v>5.9460961710483547E-2</c:v>
                </c:pt>
                <c:pt idx="57">
                  <c:v>9.2713182229862218E-2</c:v>
                </c:pt>
                <c:pt idx="58">
                  <c:v>6.8347546043438789E-2</c:v>
                </c:pt>
                <c:pt idx="59">
                  <c:v>9.6053313856977657E-2</c:v>
                </c:pt>
                <c:pt idx="60">
                  <c:v>8.6416506487459535E-2</c:v>
                </c:pt>
                <c:pt idx="61">
                  <c:v>9.4162755508367738E-2</c:v>
                </c:pt>
                <c:pt idx="62">
                  <c:v>0.10140796517167469</c:v>
                </c:pt>
                <c:pt idx="63">
                  <c:v>7.5712301034636123E-2</c:v>
                </c:pt>
                <c:pt idx="64">
                  <c:v>0.10494146523057538</c:v>
                </c:pt>
                <c:pt idx="65">
                  <c:v>0.10236168759808277</c:v>
                </c:pt>
                <c:pt idx="66">
                  <c:v>9.3037416590167371E-2</c:v>
                </c:pt>
                <c:pt idx="67">
                  <c:v>9.5382435167194482E-2</c:v>
                </c:pt>
                <c:pt idx="68">
                  <c:v>9.2254648198081379E-2</c:v>
                </c:pt>
                <c:pt idx="69">
                  <c:v>9.3358559654090637E-2</c:v>
                </c:pt>
                <c:pt idx="70">
                  <c:v>9.9099807820865138E-2</c:v>
                </c:pt>
                <c:pt idx="71">
                  <c:v>9.4636460670067854E-2</c:v>
                </c:pt>
                <c:pt idx="72">
                  <c:v>9.6728597135157496E-2</c:v>
                </c:pt>
                <c:pt idx="73">
                  <c:v>7.685217153324736E-2</c:v>
                </c:pt>
                <c:pt idx="74">
                  <c:v>8.7396772526354666E-2</c:v>
                </c:pt>
                <c:pt idx="75">
                  <c:v>9.5808526457341836E-2</c:v>
                </c:pt>
                <c:pt idx="76">
                  <c:v>8.1847710647957858E-2</c:v>
                </c:pt>
                <c:pt idx="77">
                  <c:v>7.6837517855617599E-2</c:v>
                </c:pt>
                <c:pt idx="78">
                  <c:v>9.739790942850575E-2</c:v>
                </c:pt>
                <c:pt idx="79">
                  <c:v>8.8859887805529378E-2</c:v>
                </c:pt>
                <c:pt idx="80">
                  <c:v>6.4438075906903855E-2</c:v>
                </c:pt>
                <c:pt idx="81">
                  <c:v>7.822433465196385E-2</c:v>
                </c:pt>
                <c:pt idx="82">
                  <c:v>8.9927276775848428E-2</c:v>
                </c:pt>
                <c:pt idx="83">
                  <c:v>9.0139277645456414E-2</c:v>
                </c:pt>
                <c:pt idx="84">
                  <c:v>8.5258132910081996E-2</c:v>
                </c:pt>
                <c:pt idx="85">
                  <c:v>7.595308673693657E-2</c:v>
                </c:pt>
                <c:pt idx="86">
                  <c:v>9.1468425099505229E-2</c:v>
                </c:pt>
                <c:pt idx="87">
                  <c:v>8.2184566885878357E-2</c:v>
                </c:pt>
                <c:pt idx="88">
                  <c:v>9.848788228332267E-2</c:v>
                </c:pt>
                <c:pt idx="89">
                  <c:v>0.11050831945023339</c:v>
                </c:pt>
                <c:pt idx="90">
                  <c:v>9.7014318246659889E-2</c:v>
                </c:pt>
                <c:pt idx="91">
                  <c:v>0.1175899955361079</c:v>
                </c:pt>
                <c:pt idx="92">
                  <c:v>9.1939311366437335E-2</c:v>
                </c:pt>
                <c:pt idx="93">
                  <c:v>0.10151859576689005</c:v>
                </c:pt>
                <c:pt idx="94">
                  <c:v>9.504156116202811E-2</c:v>
                </c:pt>
                <c:pt idx="95">
                  <c:v>0.10093032285611982</c:v>
                </c:pt>
                <c:pt idx="96">
                  <c:v>0.10927602767858741</c:v>
                </c:pt>
                <c:pt idx="97">
                  <c:v>0.11915223223165806</c:v>
                </c:pt>
                <c:pt idx="98">
                  <c:v>0.10609897572124238</c:v>
                </c:pt>
                <c:pt idx="99">
                  <c:v>9.9689611138275944E-2</c:v>
                </c:pt>
                <c:pt idx="100">
                  <c:v>0.11628769816372782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1-41F4-B593-D976EFC4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恒力!$I$12:$I$112</c:f>
              <c:numCache>
                <c:formatCode>0.000_ </c:formatCode>
                <c:ptCount val="101"/>
                <c:pt idx="0">
                  <c:v>2.2047682223130687E-3</c:v>
                </c:pt>
                <c:pt idx="1">
                  <c:v>2.2047682223130687E-3</c:v>
                </c:pt>
                <c:pt idx="2">
                  <c:v>2.0694928185384163E-3</c:v>
                </c:pt>
                <c:pt idx="3">
                  <c:v>2.091104354360376E-3</c:v>
                </c:pt>
                <c:pt idx="4">
                  <c:v>2.1177622954572785E-3</c:v>
                </c:pt>
                <c:pt idx="5">
                  <c:v>2.1115910055672072E-3</c:v>
                </c:pt>
                <c:pt idx="6">
                  <c:v>2.0816497975731361E-3</c:v>
                </c:pt>
                <c:pt idx="7">
                  <c:v>2.124531440495197E-3</c:v>
                </c:pt>
                <c:pt idx="8">
                  <c:v>2.2629931535089781E-3</c:v>
                </c:pt>
                <c:pt idx="9">
                  <c:v>2.395333122659419E-3</c:v>
                </c:pt>
                <c:pt idx="10">
                  <c:v>2.7583422641610992E-3</c:v>
                </c:pt>
                <c:pt idx="11">
                  <c:v>2.6783355774998396E-3</c:v>
                </c:pt>
                <c:pt idx="12">
                  <c:v>3.0357935858528885E-3</c:v>
                </c:pt>
                <c:pt idx="13">
                  <c:v>3.3832814473791421E-3</c:v>
                </c:pt>
                <c:pt idx="14">
                  <c:v>3.6837851637418254E-3</c:v>
                </c:pt>
                <c:pt idx="15">
                  <c:v>4.0658688279822369E-3</c:v>
                </c:pt>
                <c:pt idx="16">
                  <c:v>4.4707439194591929E-3</c:v>
                </c:pt>
                <c:pt idx="17">
                  <c:v>4.6815494529073949E-3</c:v>
                </c:pt>
                <c:pt idx="18">
                  <c:v>5.2369949918418396E-3</c:v>
                </c:pt>
                <c:pt idx="19">
                  <c:v>5.3829456645125432E-3</c:v>
                </c:pt>
                <c:pt idx="20">
                  <c:v>5.6688386568790753E-3</c:v>
                </c:pt>
                <c:pt idx="21">
                  <c:v>6.0601388169546451E-3</c:v>
                </c:pt>
                <c:pt idx="22">
                  <c:v>6.3919277675185621E-3</c:v>
                </c:pt>
                <c:pt idx="23">
                  <c:v>6.7544060586691703E-3</c:v>
                </c:pt>
                <c:pt idx="24">
                  <c:v>7.1341265796699667E-3</c:v>
                </c:pt>
                <c:pt idx="25">
                  <c:v>7.4679758263505244E-3</c:v>
                </c:pt>
                <c:pt idx="26">
                  <c:v>7.8577311362660052E-3</c:v>
                </c:pt>
                <c:pt idx="27">
                  <c:v>8.3202429038826617E-3</c:v>
                </c:pt>
                <c:pt idx="28">
                  <c:v>8.7175357223641704E-3</c:v>
                </c:pt>
                <c:pt idx="29">
                  <c:v>9.3929241262523527E-3</c:v>
                </c:pt>
                <c:pt idx="30">
                  <c:v>1.0039932517257492E-2</c:v>
                </c:pt>
                <c:pt idx="31">
                  <c:v>1.0575023163172876E-2</c:v>
                </c:pt>
                <c:pt idx="32">
                  <c:v>1.094461506968881E-2</c:v>
                </c:pt>
                <c:pt idx="33">
                  <c:v>1.1508174237654184E-2</c:v>
                </c:pt>
                <c:pt idx="34">
                  <c:v>1.1963806366417003E-2</c:v>
                </c:pt>
                <c:pt idx="35">
                  <c:v>1.2584549952071339E-2</c:v>
                </c:pt>
                <c:pt idx="36">
                  <c:v>1.3069176768185444E-2</c:v>
                </c:pt>
                <c:pt idx="37">
                  <c:v>1.3577357582794346E-2</c:v>
                </c:pt>
                <c:pt idx="38">
                  <c:v>1.4359777881504509E-2</c:v>
                </c:pt>
                <c:pt idx="39">
                  <c:v>1.4941048251721415E-2</c:v>
                </c:pt>
                <c:pt idx="40">
                  <c:v>1.5646213193432835E-2</c:v>
                </c:pt>
                <c:pt idx="41">
                  <c:v>1.6222717095508883E-2</c:v>
                </c:pt>
                <c:pt idx="42">
                  <c:v>1.699643416733838E-2</c:v>
                </c:pt>
                <c:pt idx="43">
                  <c:v>1.7649721016271172E-2</c:v>
                </c:pt>
                <c:pt idx="44">
                  <c:v>1.8169071383290946E-2</c:v>
                </c:pt>
                <c:pt idx="45">
                  <c:v>1.8638712498578156E-2</c:v>
                </c:pt>
                <c:pt idx="46">
                  <c:v>1.9126773976788535E-2</c:v>
                </c:pt>
                <c:pt idx="47">
                  <c:v>1.9616229080539553E-2</c:v>
                </c:pt>
                <c:pt idx="48">
                  <c:v>2.0229443548718289E-2</c:v>
                </c:pt>
                <c:pt idx="49">
                  <c:v>2.079110699934926E-2</c:v>
                </c:pt>
                <c:pt idx="50">
                  <c:v>2.1182446016405867E-2</c:v>
                </c:pt>
                <c:pt idx="51">
                  <c:v>2.1603586478743855E-2</c:v>
                </c:pt>
                <c:pt idx="52">
                  <c:v>2.2237520231232467E-2</c:v>
                </c:pt>
                <c:pt idx="53">
                  <c:v>2.2837837101422918E-2</c:v>
                </c:pt>
                <c:pt idx="54">
                  <c:v>2.321807363006332E-2</c:v>
                </c:pt>
                <c:pt idx="55">
                  <c:v>2.3589924038660861E-2</c:v>
                </c:pt>
                <c:pt idx="56">
                  <c:v>2.4199682548530978E-2</c:v>
                </c:pt>
                <c:pt idx="57">
                  <c:v>2.4552295340150503E-2</c:v>
                </c:pt>
                <c:pt idx="58">
                  <c:v>2.5233904209047621E-2</c:v>
                </c:pt>
                <c:pt idx="59">
                  <c:v>2.5665040627391531E-2</c:v>
                </c:pt>
                <c:pt idx="60">
                  <c:v>2.6368923359687393E-2</c:v>
                </c:pt>
                <c:pt idx="61">
                  <c:v>2.6969399190965113E-2</c:v>
                </c:pt>
                <c:pt idx="62">
                  <c:v>2.7641332754139141E-2</c:v>
                </c:pt>
                <c:pt idx="63">
                  <c:v>2.8378999078314496E-2</c:v>
                </c:pt>
                <c:pt idx="64">
                  <c:v>2.8852332097877711E-2</c:v>
                </c:pt>
                <c:pt idx="65">
                  <c:v>2.9613223429204687E-2</c:v>
                </c:pt>
                <c:pt idx="66">
                  <c:v>3.0340708070893469E-2</c:v>
                </c:pt>
                <c:pt idx="67">
                  <c:v>3.0967675156086207E-2</c:v>
                </c:pt>
                <c:pt idx="68">
                  <c:v>3.161182275619729E-2</c:v>
                </c:pt>
                <c:pt idx="69">
                  <c:v>3.2218251010616129E-2</c:v>
                </c:pt>
                <c:pt idx="70">
                  <c:v>3.2829654097050874E-2</c:v>
                </c:pt>
                <c:pt idx="71">
                  <c:v>3.3492355634289019E-2</c:v>
                </c:pt>
                <c:pt idx="72">
                  <c:v>3.410379668464681E-2</c:v>
                </c:pt>
                <c:pt idx="73">
                  <c:v>3.4730044689151918E-2</c:v>
                </c:pt>
                <c:pt idx="74">
                  <c:v>3.5151265957592874E-2</c:v>
                </c:pt>
                <c:pt idx="75">
                  <c:v>3.5673721023280494E-2</c:v>
                </c:pt>
                <c:pt idx="76">
                  <c:v>3.6275069077621111E-2</c:v>
                </c:pt>
                <c:pt idx="77">
                  <c:v>3.6730795493324475E-2</c:v>
                </c:pt>
                <c:pt idx="78">
                  <c:v>3.7131862716947406E-2</c:v>
                </c:pt>
                <c:pt idx="79">
                  <c:v>3.7734523184062986E-2</c:v>
                </c:pt>
                <c:pt idx="80">
                  <c:v>3.8245776830277647E-2</c:v>
                </c:pt>
                <c:pt idx="81">
                  <c:v>3.8507699821043913E-2</c:v>
                </c:pt>
                <c:pt idx="82">
                  <c:v>3.8904866169353111E-2</c:v>
                </c:pt>
                <c:pt idx="83">
                  <c:v>3.9415090275418063E-2</c:v>
                </c:pt>
                <c:pt idx="84">
                  <c:v>3.9922332149118445E-2</c:v>
                </c:pt>
                <c:pt idx="85">
                  <c:v>4.0375690156728081E-2</c:v>
                </c:pt>
                <c:pt idx="86">
                  <c:v>4.0731464122530169E-2</c:v>
                </c:pt>
                <c:pt idx="87">
                  <c:v>4.1238833732299918E-2</c:v>
                </c:pt>
                <c:pt idx="88">
                  <c:v>4.1648291063835705E-2</c:v>
                </c:pt>
                <c:pt idx="89">
                  <c:v>4.2216686976030572E-2</c:v>
                </c:pt>
                <c:pt idx="90">
                  <c:v>4.2899603300772603E-2</c:v>
                </c:pt>
                <c:pt idx="91">
                  <c:v>4.3440750450231477E-2</c:v>
                </c:pt>
                <c:pt idx="92">
                  <c:v>4.4182242901090241E-2</c:v>
                </c:pt>
                <c:pt idx="93">
                  <c:v>4.465981358574371E-2</c:v>
                </c:pt>
                <c:pt idx="94">
                  <c:v>4.5228401407555172E-2</c:v>
                </c:pt>
                <c:pt idx="95">
                  <c:v>4.5726533005099899E-2</c:v>
                </c:pt>
                <c:pt idx="96">
                  <c:v>4.6278570903610101E-2</c:v>
                </c:pt>
                <c:pt idx="97">
                  <c:v>4.6908545471359878E-2</c:v>
                </c:pt>
                <c:pt idx="98">
                  <c:v>4.763098233896286E-2</c:v>
                </c:pt>
                <c:pt idx="99">
                  <c:v>4.8215662272785655E-2</c:v>
                </c:pt>
                <c:pt idx="100">
                  <c:v>4.8730401761440556E-2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0-4052-B44D-9B189B9D1F60}"/>
            </c:ext>
          </c:extLst>
        </c:ser>
        <c:ser>
          <c:idx val="0"/>
          <c:order val="1"/>
          <c:marker>
            <c:symbol val="none"/>
          </c:marker>
          <c:val>
            <c:numRef>
              <c:f>恒力!$I$12:$I$112</c:f>
              <c:numCache>
                <c:formatCode>0.000_ </c:formatCode>
                <c:ptCount val="101"/>
                <c:pt idx="0">
                  <c:v>2.2047682223130687E-3</c:v>
                </c:pt>
                <c:pt idx="1">
                  <c:v>2.2047682223130687E-3</c:v>
                </c:pt>
                <c:pt idx="2">
                  <c:v>2.0694928185384163E-3</c:v>
                </c:pt>
                <c:pt idx="3">
                  <c:v>2.091104354360376E-3</c:v>
                </c:pt>
                <c:pt idx="4">
                  <c:v>2.1177622954572785E-3</c:v>
                </c:pt>
                <c:pt idx="5">
                  <c:v>2.1115910055672072E-3</c:v>
                </c:pt>
                <c:pt idx="6">
                  <c:v>2.0816497975731361E-3</c:v>
                </c:pt>
                <c:pt idx="7">
                  <c:v>2.124531440495197E-3</c:v>
                </c:pt>
                <c:pt idx="8">
                  <c:v>2.2629931535089781E-3</c:v>
                </c:pt>
                <c:pt idx="9">
                  <c:v>2.395333122659419E-3</c:v>
                </c:pt>
                <c:pt idx="10">
                  <c:v>2.7583422641610992E-3</c:v>
                </c:pt>
                <c:pt idx="11">
                  <c:v>2.6783355774998396E-3</c:v>
                </c:pt>
                <c:pt idx="12">
                  <c:v>3.0357935858528885E-3</c:v>
                </c:pt>
                <c:pt idx="13">
                  <c:v>3.3832814473791421E-3</c:v>
                </c:pt>
                <c:pt idx="14">
                  <c:v>3.6837851637418254E-3</c:v>
                </c:pt>
                <c:pt idx="15">
                  <c:v>4.0658688279822369E-3</c:v>
                </c:pt>
                <c:pt idx="16">
                  <c:v>4.4707439194591929E-3</c:v>
                </c:pt>
                <c:pt idx="17">
                  <c:v>4.6815494529073949E-3</c:v>
                </c:pt>
                <c:pt idx="18">
                  <c:v>5.2369949918418396E-3</c:v>
                </c:pt>
                <c:pt idx="19">
                  <c:v>5.3829456645125432E-3</c:v>
                </c:pt>
                <c:pt idx="20">
                  <c:v>5.6688386568790753E-3</c:v>
                </c:pt>
                <c:pt idx="21">
                  <c:v>6.0601388169546451E-3</c:v>
                </c:pt>
                <c:pt idx="22">
                  <c:v>6.3919277675185621E-3</c:v>
                </c:pt>
                <c:pt idx="23">
                  <c:v>6.7544060586691703E-3</c:v>
                </c:pt>
                <c:pt idx="24">
                  <c:v>7.1341265796699667E-3</c:v>
                </c:pt>
                <c:pt idx="25">
                  <c:v>7.4679758263505244E-3</c:v>
                </c:pt>
                <c:pt idx="26">
                  <c:v>7.8577311362660052E-3</c:v>
                </c:pt>
                <c:pt idx="27">
                  <c:v>8.3202429038826617E-3</c:v>
                </c:pt>
                <c:pt idx="28">
                  <c:v>8.7175357223641704E-3</c:v>
                </c:pt>
                <c:pt idx="29">
                  <c:v>9.3929241262523527E-3</c:v>
                </c:pt>
                <c:pt idx="30">
                  <c:v>1.0039932517257492E-2</c:v>
                </c:pt>
                <c:pt idx="31">
                  <c:v>1.0575023163172876E-2</c:v>
                </c:pt>
                <c:pt idx="32">
                  <c:v>1.094461506968881E-2</c:v>
                </c:pt>
                <c:pt idx="33">
                  <c:v>1.1508174237654184E-2</c:v>
                </c:pt>
                <c:pt idx="34">
                  <c:v>1.1963806366417003E-2</c:v>
                </c:pt>
                <c:pt idx="35">
                  <c:v>1.2584549952071339E-2</c:v>
                </c:pt>
                <c:pt idx="36">
                  <c:v>1.3069176768185444E-2</c:v>
                </c:pt>
                <c:pt idx="37">
                  <c:v>1.3577357582794346E-2</c:v>
                </c:pt>
                <c:pt idx="38">
                  <c:v>1.4359777881504509E-2</c:v>
                </c:pt>
                <c:pt idx="39">
                  <c:v>1.4941048251721415E-2</c:v>
                </c:pt>
                <c:pt idx="40">
                  <c:v>1.5646213193432835E-2</c:v>
                </c:pt>
                <c:pt idx="41">
                  <c:v>1.6222717095508883E-2</c:v>
                </c:pt>
                <c:pt idx="42">
                  <c:v>1.699643416733838E-2</c:v>
                </c:pt>
                <c:pt idx="43">
                  <c:v>1.7649721016271172E-2</c:v>
                </c:pt>
                <c:pt idx="44">
                  <c:v>1.8169071383290946E-2</c:v>
                </c:pt>
                <c:pt idx="45">
                  <c:v>1.8638712498578156E-2</c:v>
                </c:pt>
                <c:pt idx="46">
                  <c:v>1.9126773976788535E-2</c:v>
                </c:pt>
                <c:pt idx="47">
                  <c:v>1.9616229080539553E-2</c:v>
                </c:pt>
                <c:pt idx="48">
                  <c:v>2.0229443548718289E-2</c:v>
                </c:pt>
                <c:pt idx="49">
                  <c:v>2.079110699934926E-2</c:v>
                </c:pt>
                <c:pt idx="50">
                  <c:v>2.1182446016405867E-2</c:v>
                </c:pt>
                <c:pt idx="51">
                  <c:v>2.1603586478743855E-2</c:v>
                </c:pt>
                <c:pt idx="52">
                  <c:v>2.2237520231232467E-2</c:v>
                </c:pt>
                <c:pt idx="53">
                  <c:v>2.2837837101422918E-2</c:v>
                </c:pt>
                <c:pt idx="54">
                  <c:v>2.321807363006332E-2</c:v>
                </c:pt>
                <c:pt idx="55">
                  <c:v>2.3589924038660861E-2</c:v>
                </c:pt>
                <c:pt idx="56">
                  <c:v>2.4199682548530978E-2</c:v>
                </c:pt>
                <c:pt idx="57">
                  <c:v>2.4552295340150503E-2</c:v>
                </c:pt>
                <c:pt idx="58">
                  <c:v>2.5233904209047621E-2</c:v>
                </c:pt>
                <c:pt idx="59">
                  <c:v>2.5665040627391531E-2</c:v>
                </c:pt>
                <c:pt idx="60">
                  <c:v>2.6368923359687393E-2</c:v>
                </c:pt>
                <c:pt idx="61">
                  <c:v>2.6969399190965113E-2</c:v>
                </c:pt>
                <c:pt idx="62">
                  <c:v>2.7641332754139141E-2</c:v>
                </c:pt>
                <c:pt idx="63">
                  <c:v>2.8378999078314496E-2</c:v>
                </c:pt>
                <c:pt idx="64">
                  <c:v>2.8852332097877711E-2</c:v>
                </c:pt>
                <c:pt idx="65">
                  <c:v>2.9613223429204687E-2</c:v>
                </c:pt>
                <c:pt idx="66">
                  <c:v>3.0340708070893469E-2</c:v>
                </c:pt>
                <c:pt idx="67">
                  <c:v>3.0967675156086207E-2</c:v>
                </c:pt>
                <c:pt idx="68">
                  <c:v>3.161182275619729E-2</c:v>
                </c:pt>
                <c:pt idx="69">
                  <c:v>3.2218251010616129E-2</c:v>
                </c:pt>
                <c:pt idx="70">
                  <c:v>3.2829654097050874E-2</c:v>
                </c:pt>
                <c:pt idx="71">
                  <c:v>3.3492355634289019E-2</c:v>
                </c:pt>
                <c:pt idx="72">
                  <c:v>3.410379668464681E-2</c:v>
                </c:pt>
                <c:pt idx="73">
                  <c:v>3.4730044689151918E-2</c:v>
                </c:pt>
                <c:pt idx="74">
                  <c:v>3.5151265957592874E-2</c:v>
                </c:pt>
                <c:pt idx="75">
                  <c:v>3.5673721023280494E-2</c:v>
                </c:pt>
                <c:pt idx="76">
                  <c:v>3.6275069077621111E-2</c:v>
                </c:pt>
                <c:pt idx="77">
                  <c:v>3.6730795493324475E-2</c:v>
                </c:pt>
                <c:pt idx="78">
                  <c:v>3.7131862716947406E-2</c:v>
                </c:pt>
                <c:pt idx="79">
                  <c:v>3.7734523184062986E-2</c:v>
                </c:pt>
                <c:pt idx="80">
                  <c:v>3.8245776830277647E-2</c:v>
                </c:pt>
                <c:pt idx="81">
                  <c:v>3.8507699821043913E-2</c:v>
                </c:pt>
                <c:pt idx="82">
                  <c:v>3.8904866169353111E-2</c:v>
                </c:pt>
                <c:pt idx="83">
                  <c:v>3.9415090275418063E-2</c:v>
                </c:pt>
                <c:pt idx="84">
                  <c:v>3.9922332149118445E-2</c:v>
                </c:pt>
                <c:pt idx="85">
                  <c:v>4.0375690156728081E-2</c:v>
                </c:pt>
                <c:pt idx="86">
                  <c:v>4.0731464122530169E-2</c:v>
                </c:pt>
                <c:pt idx="87">
                  <c:v>4.1238833732299918E-2</c:v>
                </c:pt>
                <c:pt idx="88">
                  <c:v>4.1648291063835705E-2</c:v>
                </c:pt>
                <c:pt idx="89">
                  <c:v>4.2216686976030572E-2</c:v>
                </c:pt>
                <c:pt idx="90">
                  <c:v>4.2899603300772603E-2</c:v>
                </c:pt>
                <c:pt idx="91">
                  <c:v>4.3440750450231477E-2</c:v>
                </c:pt>
                <c:pt idx="92">
                  <c:v>4.4182242901090241E-2</c:v>
                </c:pt>
                <c:pt idx="93">
                  <c:v>4.465981358574371E-2</c:v>
                </c:pt>
                <c:pt idx="94">
                  <c:v>4.5228401407555172E-2</c:v>
                </c:pt>
                <c:pt idx="95">
                  <c:v>4.5726533005099899E-2</c:v>
                </c:pt>
                <c:pt idx="96">
                  <c:v>4.6278570903610101E-2</c:v>
                </c:pt>
                <c:pt idx="97">
                  <c:v>4.6908545471359878E-2</c:v>
                </c:pt>
                <c:pt idx="98">
                  <c:v>4.763098233896286E-2</c:v>
                </c:pt>
                <c:pt idx="99">
                  <c:v>4.8215662272785655E-2</c:v>
                </c:pt>
                <c:pt idx="100">
                  <c:v>4.8730401761440556E-2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0-4052-B44D-9B189B9D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恒力!$J$12:$J$112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4-4E8D-AA26-359C50445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恒力!$K$12:$K$112</c:f>
              <c:numCache>
                <c:formatCode>0.000_ </c:formatCode>
                <c:ptCount val="101"/>
                <c:pt idx="0">
                  <c:v>2.2047682223130687E-3</c:v>
                </c:pt>
                <c:pt idx="1">
                  <c:v>8.5201418456654554E-4</c:v>
                </c:pt>
                <c:pt idx="2">
                  <c:v>2.2856081767580125E-3</c:v>
                </c:pt>
                <c:pt idx="3">
                  <c:v>2.3576837653294029E-3</c:v>
                </c:pt>
                <c:pt idx="4">
                  <c:v>2.056049396556564E-3</c:v>
                </c:pt>
                <c:pt idx="5">
                  <c:v>1.8121789256264963E-3</c:v>
                </c:pt>
                <c:pt idx="6">
                  <c:v>2.5104662267937464E-3</c:v>
                </c:pt>
                <c:pt idx="7">
                  <c:v>3.5091485706330076E-3</c:v>
                </c:pt>
                <c:pt idx="8">
                  <c:v>3.5863928450133851E-3</c:v>
                </c:pt>
                <c:pt idx="9">
                  <c:v>6.0254245376762218E-3</c:v>
                </c:pt>
                <c:pt idx="10">
                  <c:v>1.9582753975485034E-3</c:v>
                </c:pt>
                <c:pt idx="11">
                  <c:v>6.2529156610303281E-3</c:v>
                </c:pt>
                <c:pt idx="12">
                  <c:v>6.510672201115425E-3</c:v>
                </c:pt>
                <c:pt idx="13">
                  <c:v>6.3883186110059755E-3</c:v>
                </c:pt>
                <c:pt idx="14">
                  <c:v>7.5046218061459412E-3</c:v>
                </c:pt>
                <c:pt idx="15">
                  <c:v>8.1146197427517976E-3</c:v>
                </c:pt>
                <c:pt idx="16">
                  <c:v>6.578799253941215E-3</c:v>
                </c:pt>
                <c:pt idx="17">
                  <c:v>1.0236004842251838E-2</c:v>
                </c:pt>
                <c:pt idx="18">
                  <c:v>6.6965017185488746E-3</c:v>
                </c:pt>
                <c:pt idx="19">
                  <c:v>8.2418755881778667E-3</c:v>
                </c:pt>
                <c:pt idx="20">
                  <c:v>9.5818402576347723E-3</c:v>
                </c:pt>
                <c:pt idx="21">
                  <c:v>9.3780283225938198E-3</c:v>
                </c:pt>
                <c:pt idx="22">
                  <c:v>1.0016710679024644E-2</c:v>
                </c:pt>
                <c:pt idx="23">
                  <c:v>1.0551611268677138E-2</c:v>
                </c:pt>
                <c:pt idx="24">
                  <c:v>1.0472619046475541E-2</c:v>
                </c:pt>
                <c:pt idx="25">
                  <c:v>1.1365528925505334E-2</c:v>
                </c:pt>
                <c:pt idx="26">
                  <c:v>1.2482848812432569E-2</c:v>
                </c:pt>
                <c:pt idx="27">
                  <c:v>1.2293171088697756E-2</c:v>
                </c:pt>
                <c:pt idx="28">
                  <c:v>1.5471419761245987E-2</c:v>
                </c:pt>
                <c:pt idx="29">
                  <c:v>1.586300803630375E-2</c:v>
                </c:pt>
                <c:pt idx="30">
                  <c:v>1.5390838976411336E-2</c:v>
                </c:pt>
                <c:pt idx="31">
                  <c:v>1.4270942228332221E-2</c:v>
                </c:pt>
                <c:pt idx="32">
                  <c:v>1.658020674934255E-2</c:v>
                </c:pt>
                <c:pt idx="33">
                  <c:v>1.6064495525282368E-2</c:v>
                </c:pt>
                <c:pt idx="34">
                  <c:v>1.8171242222960356E-2</c:v>
                </c:pt>
                <c:pt idx="35">
                  <c:v>1.7430818113212398E-2</c:v>
                </c:pt>
                <c:pt idx="36">
                  <c:v>1.8150984914274453E-2</c:v>
                </c:pt>
                <c:pt idx="37">
                  <c:v>2.1401560569895988E-2</c:v>
                </c:pt>
                <c:pt idx="38">
                  <c:v>2.017248158367357E-2</c:v>
                </c:pt>
                <c:pt idx="39">
                  <c:v>2.1992697668835604E-2</c:v>
                </c:pt>
                <c:pt idx="40">
                  <c:v>2.1411252214193328E-2</c:v>
                </c:pt>
                <c:pt idx="41">
                  <c:v>2.3959887813803867E-2</c:v>
                </c:pt>
                <c:pt idx="42">
                  <c:v>2.3529302656666286E-2</c:v>
                </c:pt>
                <c:pt idx="43">
                  <c:v>2.2843224686468894E-2</c:v>
                </c:pt>
                <c:pt idx="44">
                  <c:v>2.2865482536163041E-2</c:v>
                </c:pt>
                <c:pt idx="45">
                  <c:v>2.3519327280681956E-2</c:v>
                </c:pt>
                <c:pt idx="46">
                  <c:v>2.4021325014298701E-2</c:v>
                </c:pt>
                <c:pt idx="47">
                  <c:v>2.5748373762326915E-2</c:v>
                </c:pt>
                <c:pt idx="48">
                  <c:v>2.5846078055028008E-2</c:v>
                </c:pt>
                <c:pt idx="49">
                  <c:v>2.4704497169915331E-2</c:v>
                </c:pt>
                <c:pt idx="50">
                  <c:v>2.5393850639785741E-2</c:v>
                </c:pt>
                <c:pt idx="51">
                  <c:v>2.794292400363E-2</c:v>
                </c:pt>
                <c:pt idx="52">
                  <c:v>2.8240688933136977E-2</c:v>
                </c:pt>
                <c:pt idx="53">
                  <c:v>2.6640202387826949E-2</c:v>
                </c:pt>
                <c:pt idx="54">
                  <c:v>2.6936577716038725E-2</c:v>
                </c:pt>
                <c:pt idx="55">
                  <c:v>2.9687509137362015E-2</c:v>
                </c:pt>
                <c:pt idx="56">
                  <c:v>2.7725810464726233E-2</c:v>
                </c:pt>
                <c:pt idx="57">
                  <c:v>3.1368384029121676E-2</c:v>
                </c:pt>
                <c:pt idx="58">
                  <c:v>2.9545268392486737E-2</c:v>
                </c:pt>
                <c:pt idx="59">
                  <c:v>3.2703867950350143E-2</c:v>
                </c:pt>
                <c:pt idx="60">
                  <c:v>3.2373681672464606E-2</c:v>
                </c:pt>
                <c:pt idx="61">
                  <c:v>3.3688734822705374E-2</c:v>
                </c:pt>
                <c:pt idx="62">
                  <c:v>3.5017995995892698E-2</c:v>
                </c:pt>
                <c:pt idx="63">
                  <c:v>3.311232927394666E-2</c:v>
                </c:pt>
                <c:pt idx="64">
                  <c:v>3.646124541114748E-2</c:v>
                </c:pt>
                <c:pt idx="65">
                  <c:v>3.6888069846092497E-2</c:v>
                </c:pt>
                <c:pt idx="66">
                  <c:v>3.661037892282086E-2</c:v>
                </c:pt>
                <c:pt idx="67">
                  <c:v>3.7409151157197035E-2</c:v>
                </c:pt>
                <c:pt idx="68">
                  <c:v>3.7676105300385697E-2</c:v>
                </c:pt>
                <c:pt idx="69">
                  <c:v>3.8332281874963584E-2</c:v>
                </c:pt>
                <c:pt idx="70">
                  <c:v>3.9456669469432298E-2</c:v>
                </c:pt>
                <c:pt idx="71">
                  <c:v>3.96067661378669E-2</c:v>
                </c:pt>
                <c:pt idx="72">
                  <c:v>4.0366276729697878E-2</c:v>
                </c:pt>
                <c:pt idx="73">
                  <c:v>3.894225737356146E-2</c:v>
                </c:pt>
                <c:pt idx="74">
                  <c:v>4.0375816614469054E-2</c:v>
                </c:pt>
                <c:pt idx="75">
                  <c:v>4.1687201566686628E-2</c:v>
                </c:pt>
                <c:pt idx="76">
                  <c:v>4.0832333234654787E-2</c:v>
                </c:pt>
                <c:pt idx="77">
                  <c:v>4.0741467729553789E-2</c:v>
                </c:pt>
                <c:pt idx="78">
                  <c:v>4.3158467388103243E-2</c:v>
                </c:pt>
                <c:pt idx="79">
                  <c:v>4.2847059646209627E-2</c:v>
                </c:pt>
                <c:pt idx="80">
                  <c:v>4.0865006737940267E-2</c:v>
                </c:pt>
                <c:pt idx="81">
                  <c:v>4.2479363304135903E-2</c:v>
                </c:pt>
                <c:pt idx="82">
                  <c:v>4.4007107230002646E-2</c:v>
                </c:pt>
                <c:pt idx="83">
                  <c:v>4.4487509012421898E-2</c:v>
                </c:pt>
                <c:pt idx="84">
                  <c:v>4.4455912225214798E-2</c:v>
                </c:pt>
                <c:pt idx="85">
                  <c:v>4.3933429814748931E-2</c:v>
                </c:pt>
                <c:pt idx="86">
                  <c:v>4.5805160220227674E-2</c:v>
                </c:pt>
                <c:pt idx="87">
                  <c:v>4.5333407047657759E-2</c:v>
                </c:pt>
                <c:pt idx="88">
                  <c:v>4.7332250185784401E-2</c:v>
                </c:pt>
                <c:pt idx="89">
                  <c:v>4.9045850223450857E-2</c:v>
                </c:pt>
                <c:pt idx="90">
                  <c:v>4.8311074795361328E-2</c:v>
                </c:pt>
                <c:pt idx="91">
                  <c:v>5.0855674958819118E-2</c:v>
                </c:pt>
                <c:pt idx="92">
                  <c:v>4.8957949747624949E-2</c:v>
                </c:pt>
                <c:pt idx="93">
                  <c:v>5.0345691803858346E-2</c:v>
                </c:pt>
                <c:pt idx="94">
                  <c:v>5.0209717383002464E-2</c:v>
                </c:pt>
                <c:pt idx="95">
                  <c:v>5.1246911990201892E-2</c:v>
                </c:pt>
                <c:pt idx="96">
                  <c:v>5.2578316581107835E-2</c:v>
                </c:pt>
                <c:pt idx="97">
                  <c:v>5.4132914147389695E-2</c:v>
                </c:pt>
                <c:pt idx="98">
                  <c:v>5.3477781677190812E-2</c:v>
                </c:pt>
                <c:pt idx="99">
                  <c:v>5.3363057159334683E-2</c:v>
                </c:pt>
                <c:pt idx="100">
                  <c:v>5.5486131401669282E-2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4-4C74-BF81-CC122AA24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恒力!$L$12:$L$112</c:f>
              <c:numCache>
                <c:formatCode>0.000_ </c:formatCode>
                <c:ptCount val="101"/>
                <c:pt idx="0">
                  <c:v>0</c:v>
                </c:pt>
                <c:pt idx="1">
                  <c:v>-1.3527540377465232E-3</c:v>
                </c:pt>
                <c:pt idx="2">
                  <c:v>2.1611535821959609E-4</c:v>
                </c:pt>
                <c:pt idx="3">
                  <c:v>2.6657941096902679E-4</c:v>
                </c:pt>
                <c:pt idx="4">
                  <c:v>-6.1712898900714627E-5</c:v>
                </c:pt>
                <c:pt idx="5">
                  <c:v>-2.9941207994071094E-4</c:v>
                </c:pt>
                <c:pt idx="6">
                  <c:v>4.2881642922061017E-4</c:v>
                </c:pt>
                <c:pt idx="7">
                  <c:v>1.3846171301378106E-3</c:v>
                </c:pt>
                <c:pt idx="8">
                  <c:v>1.3233996915044067E-3</c:v>
                </c:pt>
                <c:pt idx="9">
                  <c:v>3.6300914150168028E-3</c:v>
                </c:pt>
                <c:pt idx="10">
                  <c:v>-8.0006686661259591E-4</c:v>
                </c:pt>
                <c:pt idx="11">
                  <c:v>3.574580083530488E-3</c:v>
                </c:pt>
                <c:pt idx="12">
                  <c:v>3.4748786152625365E-3</c:v>
                </c:pt>
                <c:pt idx="13">
                  <c:v>3.0050371636268333E-3</c:v>
                </c:pt>
                <c:pt idx="14">
                  <c:v>3.8208366424041153E-3</c:v>
                </c:pt>
                <c:pt idx="15">
                  <c:v>4.0487509147695607E-3</c:v>
                </c:pt>
                <c:pt idx="16">
                  <c:v>2.1080553344820225E-3</c:v>
                </c:pt>
                <c:pt idx="17">
                  <c:v>5.5544553893444436E-3</c:v>
                </c:pt>
                <c:pt idx="18">
                  <c:v>1.4595067267070348E-3</c:v>
                </c:pt>
                <c:pt idx="19">
                  <c:v>2.8589299236653236E-3</c:v>
                </c:pt>
                <c:pt idx="20">
                  <c:v>3.9130016007556953E-3</c:v>
                </c:pt>
                <c:pt idx="21">
                  <c:v>3.3178895056391738E-3</c:v>
                </c:pt>
                <c:pt idx="22">
                  <c:v>3.6247829115060816E-3</c:v>
                </c:pt>
                <c:pt idx="23">
                  <c:v>3.7972052100079673E-3</c:v>
                </c:pt>
                <c:pt idx="24">
                  <c:v>3.3384924668055731E-3</c:v>
                </c:pt>
                <c:pt idx="25">
                  <c:v>3.8975530991548096E-3</c:v>
                </c:pt>
                <c:pt idx="26">
                  <c:v>4.6251176761665626E-3</c:v>
                </c:pt>
                <c:pt idx="27">
                  <c:v>3.9729281848150944E-3</c:v>
                </c:pt>
                <c:pt idx="28">
                  <c:v>6.7538840388818161E-3</c:v>
                </c:pt>
                <c:pt idx="29">
                  <c:v>6.4700839100513968E-3</c:v>
                </c:pt>
                <c:pt idx="30">
                  <c:v>5.3509064591538442E-3</c:v>
                </c:pt>
                <c:pt idx="31">
                  <c:v>3.6959190651593456E-3</c:v>
                </c:pt>
                <c:pt idx="32">
                  <c:v>5.6355916796537392E-3</c:v>
                </c:pt>
                <c:pt idx="33">
                  <c:v>4.5563212876281838E-3</c:v>
                </c:pt>
                <c:pt idx="34">
                  <c:v>6.20743585654335E-3</c:v>
                </c:pt>
                <c:pt idx="35">
                  <c:v>4.8462681611410588E-3</c:v>
                </c:pt>
                <c:pt idx="36">
                  <c:v>5.0818081460890091E-3</c:v>
                </c:pt>
                <c:pt idx="37">
                  <c:v>7.8242029871016406E-3</c:v>
                </c:pt>
                <c:pt idx="38">
                  <c:v>5.8127037021690605E-3</c:v>
                </c:pt>
                <c:pt idx="39">
                  <c:v>7.0516494171141879E-3</c:v>
                </c:pt>
                <c:pt idx="40">
                  <c:v>5.7650390207604936E-3</c:v>
                </c:pt>
                <c:pt idx="41">
                  <c:v>7.7371707182949832E-3</c:v>
                </c:pt>
                <c:pt idx="42">
                  <c:v>6.5328684893279053E-3</c:v>
                </c:pt>
                <c:pt idx="43">
                  <c:v>5.1935036701977232E-3</c:v>
                </c:pt>
                <c:pt idx="44">
                  <c:v>4.6964111528720928E-3</c:v>
                </c:pt>
                <c:pt idx="45">
                  <c:v>4.8806147821037994E-3</c:v>
                </c:pt>
                <c:pt idx="46">
                  <c:v>4.8945510375101638E-3</c:v>
                </c:pt>
                <c:pt idx="47">
                  <c:v>6.1321446817873626E-3</c:v>
                </c:pt>
                <c:pt idx="48">
                  <c:v>5.6166345063097187E-3</c:v>
                </c:pt>
                <c:pt idx="49">
                  <c:v>3.9133901705660692E-3</c:v>
                </c:pt>
                <c:pt idx="50">
                  <c:v>4.2114046233798748E-3</c:v>
                </c:pt>
                <c:pt idx="51">
                  <c:v>6.3393375248861428E-3</c:v>
                </c:pt>
                <c:pt idx="52">
                  <c:v>6.0031687019045082E-3</c:v>
                </c:pt>
                <c:pt idx="53">
                  <c:v>3.802365286404031E-3</c:v>
                </c:pt>
                <c:pt idx="54">
                  <c:v>3.718504085975404E-3</c:v>
                </c:pt>
                <c:pt idx="55">
                  <c:v>6.0975850987011531E-3</c:v>
                </c:pt>
                <c:pt idx="56">
                  <c:v>3.5261279161952568E-3</c:v>
                </c:pt>
                <c:pt idx="57">
                  <c:v>6.8160886889711706E-3</c:v>
                </c:pt>
                <c:pt idx="58">
                  <c:v>4.311364183439117E-3</c:v>
                </c:pt>
                <c:pt idx="59">
                  <c:v>7.0388273229586122E-3</c:v>
                </c:pt>
                <c:pt idx="60">
                  <c:v>6.0047583127772136E-3</c:v>
                </c:pt>
                <c:pt idx="61">
                  <c:v>6.7193356317402624E-3</c:v>
                </c:pt>
                <c:pt idx="62">
                  <c:v>7.376663241753555E-3</c:v>
                </c:pt>
                <c:pt idx="63">
                  <c:v>4.7333301956321624E-3</c:v>
                </c:pt>
                <c:pt idx="64">
                  <c:v>7.6089133132697662E-3</c:v>
                </c:pt>
                <c:pt idx="65">
                  <c:v>7.2748464168878087E-3</c:v>
                </c:pt>
                <c:pt idx="66">
                  <c:v>6.2696708519273895E-3</c:v>
                </c:pt>
                <c:pt idx="67">
                  <c:v>6.4414760011108265E-3</c:v>
                </c:pt>
                <c:pt idx="68">
                  <c:v>6.0642825441884086E-3</c:v>
                </c:pt>
                <c:pt idx="69">
                  <c:v>6.1140308643474498E-3</c:v>
                </c:pt>
                <c:pt idx="70">
                  <c:v>6.6270153723814252E-3</c:v>
                </c:pt>
                <c:pt idx="71">
                  <c:v>6.1144105035778832E-3</c:v>
                </c:pt>
                <c:pt idx="72">
                  <c:v>6.2624800450510687E-3</c:v>
                </c:pt>
                <c:pt idx="73">
                  <c:v>4.2122126844095437E-3</c:v>
                </c:pt>
                <c:pt idx="74">
                  <c:v>5.224550656876179E-3</c:v>
                </c:pt>
                <c:pt idx="75">
                  <c:v>6.0134805434061342E-3</c:v>
                </c:pt>
                <c:pt idx="76">
                  <c:v>4.5572641570336744E-3</c:v>
                </c:pt>
                <c:pt idx="77">
                  <c:v>4.010672236229312E-3</c:v>
                </c:pt>
                <c:pt idx="78">
                  <c:v>6.0266046711558345E-3</c:v>
                </c:pt>
                <c:pt idx="79">
                  <c:v>5.1125364621466395E-3</c:v>
                </c:pt>
                <c:pt idx="80">
                  <c:v>2.6192299076626207E-3</c:v>
                </c:pt>
                <c:pt idx="81">
                  <c:v>3.9716634830919938E-3</c:v>
                </c:pt>
                <c:pt idx="82">
                  <c:v>5.102241060649531E-3</c:v>
                </c:pt>
                <c:pt idx="83">
                  <c:v>5.0724187370038342E-3</c:v>
                </c:pt>
                <c:pt idx="84">
                  <c:v>4.5335800760963546E-3</c:v>
                </c:pt>
                <c:pt idx="85">
                  <c:v>3.5577396580208486E-3</c:v>
                </c:pt>
                <c:pt idx="86">
                  <c:v>5.0736960976975063E-3</c:v>
                </c:pt>
                <c:pt idx="87">
                  <c:v>4.0945733153578438E-3</c:v>
                </c:pt>
                <c:pt idx="88">
                  <c:v>5.6839591219486956E-3</c:v>
                </c:pt>
                <c:pt idx="89">
                  <c:v>6.8291632474202805E-3</c:v>
                </c:pt>
                <c:pt idx="90">
                  <c:v>5.4114714945887286E-3</c:v>
                </c:pt>
                <c:pt idx="91">
                  <c:v>7.4149245085876423E-3</c:v>
                </c:pt>
                <c:pt idx="92">
                  <c:v>4.7757068465347089E-3</c:v>
                </c:pt>
                <c:pt idx="93">
                  <c:v>5.6858782181146341E-3</c:v>
                </c:pt>
                <c:pt idx="94">
                  <c:v>4.9813159754472933E-3</c:v>
                </c:pt>
                <c:pt idx="95">
                  <c:v>5.5203789851019916E-3</c:v>
                </c:pt>
                <c:pt idx="96">
                  <c:v>6.2997456774977314E-3</c:v>
                </c:pt>
                <c:pt idx="97">
                  <c:v>7.2243686760298182E-3</c:v>
                </c:pt>
                <c:pt idx="98">
                  <c:v>5.8467993382279523E-3</c:v>
                </c:pt>
                <c:pt idx="99">
                  <c:v>5.1473948865490291E-3</c:v>
                </c:pt>
                <c:pt idx="100">
                  <c:v>6.7557296402287262E-3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1-42C0-B558-03D2F83E4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正弦力!$C$12:$C$112</c:f>
              <c:numCache>
                <c:formatCode>0.000_ </c:formatCode>
                <c:ptCount val="101"/>
                <c:pt idx="0">
                  <c:v>10</c:v>
                </c:pt>
                <c:pt idx="1">
                  <c:v>10.125581039058627</c:v>
                </c:pt>
                <c:pt idx="2">
                  <c:v>10.250666467128609</c:v>
                </c:pt>
                <c:pt idx="3">
                  <c:v>10.37476262917145</c:v>
                </c:pt>
                <c:pt idx="4">
                  <c:v>10.49737977432971</c:v>
                </c:pt>
                <c:pt idx="5">
                  <c:v>10.618033988749895</c:v>
                </c:pt>
                <c:pt idx="6">
                  <c:v>10.736249105369357</c:v>
                </c:pt>
                <c:pt idx="7">
                  <c:v>10.851558583130146</c:v>
                </c:pt>
                <c:pt idx="8">
                  <c:v>10.96350734820343</c:v>
                </c:pt>
                <c:pt idx="9">
                  <c:v>11.071653589957993</c:v>
                </c:pt>
                <c:pt idx="10">
                  <c:v>11.175570504584947</c:v>
                </c:pt>
                <c:pt idx="11">
                  <c:v>11.27484797949738</c:v>
                </c:pt>
                <c:pt idx="12">
                  <c:v>11.369094211857377</c:v>
                </c:pt>
                <c:pt idx="13">
                  <c:v>11.457937254842824</c:v>
                </c:pt>
                <c:pt idx="14">
                  <c:v>11.541026485551578</c:v>
                </c:pt>
                <c:pt idx="15">
                  <c:v>11.618033988749895</c:v>
                </c:pt>
                <c:pt idx="16">
                  <c:v>11.688655851004031</c:v>
                </c:pt>
                <c:pt idx="17">
                  <c:v>11.752613360087727</c:v>
                </c:pt>
                <c:pt idx="18">
                  <c:v>11.80965410493204</c:v>
                </c:pt>
                <c:pt idx="19">
                  <c:v>11.859552971776502</c:v>
                </c:pt>
                <c:pt idx="20">
                  <c:v>11.902113032590307</c:v>
                </c:pt>
                <c:pt idx="21">
                  <c:v>11.937166322257262</c:v>
                </c:pt>
                <c:pt idx="22">
                  <c:v>11.964574501457378</c:v>
                </c:pt>
                <c:pt idx="23">
                  <c:v>11.984229402628955</c:v>
                </c:pt>
                <c:pt idx="24">
                  <c:v>11.996053456856544</c:v>
                </c:pt>
                <c:pt idx="25">
                  <c:v>12</c:v>
                </c:pt>
                <c:pt idx="26">
                  <c:v>11.996053456856544</c:v>
                </c:pt>
                <c:pt idx="27">
                  <c:v>11.984229402628955</c:v>
                </c:pt>
                <c:pt idx="28">
                  <c:v>11.964574501457378</c:v>
                </c:pt>
                <c:pt idx="29">
                  <c:v>11.937166322257262</c:v>
                </c:pt>
                <c:pt idx="30">
                  <c:v>11.902113032590307</c:v>
                </c:pt>
                <c:pt idx="31">
                  <c:v>11.859552971776502</c:v>
                </c:pt>
                <c:pt idx="32">
                  <c:v>11.809654104932038</c:v>
                </c:pt>
                <c:pt idx="33">
                  <c:v>11.752613360087727</c:v>
                </c:pt>
                <c:pt idx="34">
                  <c:v>11.688655851004031</c:v>
                </c:pt>
                <c:pt idx="35">
                  <c:v>11.618033988749895</c:v>
                </c:pt>
                <c:pt idx="36">
                  <c:v>11.541026485551578</c:v>
                </c:pt>
                <c:pt idx="37">
                  <c:v>11.457937254842824</c:v>
                </c:pt>
                <c:pt idx="38">
                  <c:v>11.369094211857378</c:v>
                </c:pt>
                <c:pt idx="39">
                  <c:v>11.274847979497379</c:v>
                </c:pt>
                <c:pt idx="40">
                  <c:v>11.175570504584947</c:v>
                </c:pt>
                <c:pt idx="41">
                  <c:v>11.071653589957993</c:v>
                </c:pt>
                <c:pt idx="42">
                  <c:v>10.96350734820343</c:v>
                </c:pt>
                <c:pt idx="43">
                  <c:v>10.851558583130146</c:v>
                </c:pt>
                <c:pt idx="44">
                  <c:v>10.736249105369355</c:v>
                </c:pt>
                <c:pt idx="45">
                  <c:v>10.618033988749895</c:v>
                </c:pt>
                <c:pt idx="46">
                  <c:v>10.497379774329708</c:v>
                </c:pt>
                <c:pt idx="47">
                  <c:v>10.37476262917145</c:v>
                </c:pt>
                <c:pt idx="48">
                  <c:v>10.250666467128609</c:v>
                </c:pt>
                <c:pt idx="49">
                  <c:v>10.125581039058627</c:v>
                </c:pt>
                <c:pt idx="50">
                  <c:v>10</c:v>
                </c:pt>
                <c:pt idx="51">
                  <c:v>9.8744189609413731</c:v>
                </c:pt>
                <c:pt idx="52">
                  <c:v>9.7493335328713915</c:v>
                </c:pt>
                <c:pt idx="53">
                  <c:v>9.6252373708285504</c:v>
                </c:pt>
                <c:pt idx="54">
                  <c:v>9.5026202256702916</c:v>
                </c:pt>
                <c:pt idx="55">
                  <c:v>9.3819660112501069</c:v>
                </c:pt>
                <c:pt idx="56">
                  <c:v>9.2637508946306433</c:v>
                </c:pt>
                <c:pt idx="57">
                  <c:v>9.1484414168698542</c:v>
                </c:pt>
                <c:pt idx="58">
                  <c:v>9.0364926517965678</c:v>
                </c:pt>
                <c:pt idx="59">
                  <c:v>8.9283464100420069</c:v>
                </c:pt>
                <c:pt idx="60">
                  <c:v>8.8244294954150533</c:v>
                </c:pt>
                <c:pt idx="61">
                  <c:v>8.7251520205026196</c:v>
                </c:pt>
                <c:pt idx="62">
                  <c:v>8.6309057881426234</c:v>
                </c:pt>
                <c:pt idx="63">
                  <c:v>8.5420627451571765</c:v>
                </c:pt>
                <c:pt idx="64">
                  <c:v>8.4589735144484219</c:v>
                </c:pt>
                <c:pt idx="65">
                  <c:v>8.3819660112501051</c:v>
                </c:pt>
                <c:pt idx="66">
                  <c:v>8.3113441489959712</c:v>
                </c:pt>
                <c:pt idx="67">
                  <c:v>8.2473866399122731</c:v>
                </c:pt>
                <c:pt idx="68">
                  <c:v>8.19034589506796</c:v>
                </c:pt>
                <c:pt idx="69">
                  <c:v>8.1404470282234964</c:v>
                </c:pt>
                <c:pt idx="70">
                  <c:v>8.0978869674096927</c:v>
                </c:pt>
                <c:pt idx="71">
                  <c:v>8.0628336777427378</c:v>
                </c:pt>
                <c:pt idx="72">
                  <c:v>8.0354254985426223</c:v>
                </c:pt>
                <c:pt idx="73">
                  <c:v>8.0157705973710449</c:v>
                </c:pt>
                <c:pt idx="74">
                  <c:v>8.0039465431434564</c:v>
                </c:pt>
                <c:pt idx="75">
                  <c:v>8</c:v>
                </c:pt>
                <c:pt idx="76">
                  <c:v>8.0039465431434564</c:v>
                </c:pt>
                <c:pt idx="77">
                  <c:v>8.0157705973710449</c:v>
                </c:pt>
                <c:pt idx="78">
                  <c:v>8.0354254985426223</c:v>
                </c:pt>
                <c:pt idx="79">
                  <c:v>8.0628336777427378</c:v>
                </c:pt>
                <c:pt idx="80">
                  <c:v>8.0978869674096927</c:v>
                </c:pt>
                <c:pt idx="81">
                  <c:v>8.1404470282234964</c:v>
                </c:pt>
                <c:pt idx="82">
                  <c:v>8.1903458950679617</c:v>
                </c:pt>
                <c:pt idx="83">
                  <c:v>8.2473866399122731</c:v>
                </c:pt>
                <c:pt idx="84">
                  <c:v>8.3113441489959694</c:v>
                </c:pt>
                <c:pt idx="85">
                  <c:v>8.3819660112501051</c:v>
                </c:pt>
                <c:pt idx="86">
                  <c:v>8.4589735144484202</c:v>
                </c:pt>
                <c:pt idx="87">
                  <c:v>8.5420627451571765</c:v>
                </c:pt>
                <c:pt idx="88">
                  <c:v>8.6309057881426234</c:v>
                </c:pt>
                <c:pt idx="89">
                  <c:v>8.7251520205026214</c:v>
                </c:pt>
                <c:pt idx="90">
                  <c:v>8.8244294954150533</c:v>
                </c:pt>
                <c:pt idx="91">
                  <c:v>8.9283464100420051</c:v>
                </c:pt>
                <c:pt idx="92">
                  <c:v>9.0364926517965714</c:v>
                </c:pt>
                <c:pt idx="93">
                  <c:v>9.148441416869856</c:v>
                </c:pt>
                <c:pt idx="94">
                  <c:v>9.263750894630645</c:v>
                </c:pt>
                <c:pt idx="95">
                  <c:v>9.3819660112501051</c:v>
                </c:pt>
                <c:pt idx="96">
                  <c:v>9.5026202256702916</c:v>
                </c:pt>
                <c:pt idx="97">
                  <c:v>9.6252373708285504</c:v>
                </c:pt>
                <c:pt idx="98">
                  <c:v>9.7493335328713933</c:v>
                </c:pt>
                <c:pt idx="99">
                  <c:v>9.8744189609413731</c:v>
                </c:pt>
                <c:pt idx="1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F-4F84-81F3-74729CD9F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r>
              <a:rPr lang="zh-CN" altLang="en-US"/>
              <a:t>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正弦力!$D$12:$D$112</c:f>
              <c:numCache>
                <c:formatCode>0.000_ </c:formatCode>
                <c:ptCount val="101"/>
                <c:pt idx="0">
                  <c:v>10.094317904942613</c:v>
                </c:pt>
                <c:pt idx="1">
                  <c:v>10.148425736327001</c:v>
                </c:pt>
                <c:pt idx="2">
                  <c:v>10.127958130443622</c:v>
                </c:pt>
                <c:pt idx="3">
                  <c:v>10.354572491891695</c:v>
                </c:pt>
                <c:pt idx="4">
                  <c:v>10.638508730866068</c:v>
                </c:pt>
                <c:pt idx="5">
                  <c:v>10.709824008457137</c:v>
                </c:pt>
                <c:pt idx="6">
                  <c:v>10.757151389533115</c:v>
                </c:pt>
                <c:pt idx="7">
                  <c:v>10.877591460107602</c:v>
                </c:pt>
                <c:pt idx="8">
                  <c:v>11.035759451986847</c:v>
                </c:pt>
                <c:pt idx="9">
                  <c:v>11.08556043565147</c:v>
                </c:pt>
                <c:pt idx="10">
                  <c:v>11.337468822297637</c:v>
                </c:pt>
                <c:pt idx="11">
                  <c:v>11.283162499174637</c:v>
                </c:pt>
                <c:pt idx="12">
                  <c:v>11.353680114036528</c:v>
                </c:pt>
                <c:pt idx="13">
                  <c:v>11.294557821830461</c:v>
                </c:pt>
                <c:pt idx="14">
                  <c:v>11.365526240282218</c:v>
                </c:pt>
                <c:pt idx="15">
                  <c:v>11.623409488897497</c:v>
                </c:pt>
                <c:pt idx="16">
                  <c:v>11.580909235303412</c:v>
                </c:pt>
                <c:pt idx="17">
                  <c:v>11.783523385778969</c:v>
                </c:pt>
                <c:pt idx="18">
                  <c:v>11.763205090449629</c:v>
                </c:pt>
                <c:pt idx="19">
                  <c:v>11.849394003710316</c:v>
                </c:pt>
                <c:pt idx="20">
                  <c:v>11.961261503270972</c:v>
                </c:pt>
                <c:pt idx="21">
                  <c:v>12.046588259935367</c:v>
                </c:pt>
                <c:pt idx="22">
                  <c:v>11.782534572774141</c:v>
                </c:pt>
                <c:pt idx="23">
                  <c:v>11.990831488723465</c:v>
                </c:pt>
                <c:pt idx="24">
                  <c:v>11.961441828825311</c:v>
                </c:pt>
                <c:pt idx="25">
                  <c:v>12.182144553363791</c:v>
                </c:pt>
                <c:pt idx="26">
                  <c:v>12.12382097785814</c:v>
                </c:pt>
                <c:pt idx="27">
                  <c:v>11.975232308111023</c:v>
                </c:pt>
                <c:pt idx="28">
                  <c:v>12.048023429196803</c:v>
                </c:pt>
                <c:pt idx="29">
                  <c:v>12.023413953594588</c:v>
                </c:pt>
                <c:pt idx="30">
                  <c:v>12.054460066838006</c:v>
                </c:pt>
                <c:pt idx="31">
                  <c:v>11.863062825172159</c:v>
                </c:pt>
                <c:pt idx="32">
                  <c:v>11.754268809687265</c:v>
                </c:pt>
                <c:pt idx="33">
                  <c:v>11.620839035736017</c:v>
                </c:pt>
                <c:pt idx="34">
                  <c:v>11.600461593930099</c:v>
                </c:pt>
                <c:pt idx="35">
                  <c:v>11.420788520380603</c:v>
                </c:pt>
                <c:pt idx="36">
                  <c:v>11.605161441323332</c:v>
                </c:pt>
                <c:pt idx="37">
                  <c:v>11.51811436127009</c:v>
                </c:pt>
                <c:pt idx="38">
                  <c:v>11.243864032653194</c:v>
                </c:pt>
                <c:pt idx="39">
                  <c:v>11.170172119445594</c:v>
                </c:pt>
                <c:pt idx="40">
                  <c:v>11.258427492074061</c:v>
                </c:pt>
                <c:pt idx="41">
                  <c:v>11.066566072965434</c:v>
                </c:pt>
                <c:pt idx="42">
                  <c:v>10.940170273928848</c:v>
                </c:pt>
                <c:pt idx="43">
                  <c:v>10.822034092980859</c:v>
                </c:pt>
                <c:pt idx="44">
                  <c:v>10.687699586633792</c:v>
                </c:pt>
                <c:pt idx="45">
                  <c:v>10.729787275346993</c:v>
                </c:pt>
                <c:pt idx="46">
                  <c:v>10.499685420040965</c:v>
                </c:pt>
                <c:pt idx="47">
                  <c:v>10.342520827105437</c:v>
                </c:pt>
                <c:pt idx="48">
                  <c:v>10.404666798852276</c:v>
                </c:pt>
                <c:pt idx="49">
                  <c:v>10.128101239577683</c:v>
                </c:pt>
                <c:pt idx="50">
                  <c:v>10.025631696555287</c:v>
                </c:pt>
                <c:pt idx="51">
                  <c:v>9.8508760913098978</c:v>
                </c:pt>
                <c:pt idx="52">
                  <c:v>9.6926932748683967</c:v>
                </c:pt>
                <c:pt idx="53">
                  <c:v>9.6414081372723945</c:v>
                </c:pt>
                <c:pt idx="54">
                  <c:v>9.4572698610121186</c:v>
                </c:pt>
                <c:pt idx="55">
                  <c:v>9.3414624168449603</c:v>
                </c:pt>
                <c:pt idx="56">
                  <c:v>9.300111531646591</c:v>
                </c:pt>
                <c:pt idx="57">
                  <c:v>9.0937030728137334</c:v>
                </c:pt>
                <c:pt idx="58">
                  <c:v>9.0853540247719042</c:v>
                </c:pt>
                <c:pt idx="59">
                  <c:v>8.9486294710993732</c:v>
                </c:pt>
                <c:pt idx="60">
                  <c:v>8.9698186697251696</c:v>
                </c:pt>
                <c:pt idx="61">
                  <c:v>8.6655458390781472</c:v>
                </c:pt>
                <c:pt idx="62">
                  <c:v>8.6795649973577298</c:v>
                </c:pt>
                <c:pt idx="63">
                  <c:v>8.5827035647968071</c:v>
                </c:pt>
                <c:pt idx="64">
                  <c:v>8.4335840635918409</c:v>
                </c:pt>
                <c:pt idx="65">
                  <c:v>8.3951300784093768</c:v>
                </c:pt>
                <c:pt idx="66">
                  <c:v>8.2801548757123822</c:v>
                </c:pt>
                <c:pt idx="67">
                  <c:v>8.1119629516147462</c:v>
                </c:pt>
                <c:pt idx="68">
                  <c:v>8.2221359140351371</c:v>
                </c:pt>
                <c:pt idx="69">
                  <c:v>7.8911372279154888</c:v>
                </c:pt>
                <c:pt idx="70">
                  <c:v>8.2404290428724245</c:v>
                </c:pt>
                <c:pt idx="71">
                  <c:v>7.997832215998212</c:v>
                </c:pt>
                <c:pt idx="72">
                  <c:v>7.9719305239635014</c:v>
                </c:pt>
                <c:pt idx="73">
                  <c:v>7.9432269750161506</c:v>
                </c:pt>
                <c:pt idx="74">
                  <c:v>7.882442677176793</c:v>
                </c:pt>
                <c:pt idx="75">
                  <c:v>8.0974674307506866</c:v>
                </c:pt>
                <c:pt idx="76">
                  <c:v>8.0520043596498176</c:v>
                </c:pt>
                <c:pt idx="77">
                  <c:v>7.9108743276507267</c:v>
                </c:pt>
                <c:pt idx="78">
                  <c:v>8.0467830213053926</c:v>
                </c:pt>
                <c:pt idx="79">
                  <c:v>8.0172731162390143</c:v>
                </c:pt>
                <c:pt idx="80">
                  <c:v>8.1739863770143497</c:v>
                </c:pt>
                <c:pt idx="81">
                  <c:v>8.124604242404736</c:v>
                </c:pt>
                <c:pt idx="82">
                  <c:v>8.0911187457017473</c:v>
                </c:pt>
                <c:pt idx="83">
                  <c:v>8.099917231860525</c:v>
                </c:pt>
                <c:pt idx="84">
                  <c:v>8.1935981192487599</c:v>
                </c:pt>
                <c:pt idx="85">
                  <c:v>8.3632013500767854</c:v>
                </c:pt>
                <c:pt idx="86">
                  <c:v>8.4493093265685051</c:v>
                </c:pt>
                <c:pt idx="87">
                  <c:v>8.7750950791677624</c:v>
                </c:pt>
                <c:pt idx="88">
                  <c:v>8.6847666174455469</c:v>
                </c:pt>
                <c:pt idx="89">
                  <c:v>8.6963322848367142</c:v>
                </c:pt>
                <c:pt idx="90">
                  <c:v>8.6729858211294246</c:v>
                </c:pt>
                <c:pt idx="91">
                  <c:v>9.080169309356652</c:v>
                </c:pt>
                <c:pt idx="92">
                  <c:v>8.9819881774927968</c:v>
                </c:pt>
                <c:pt idx="93">
                  <c:v>9.1719085448249746</c:v>
                </c:pt>
                <c:pt idx="94">
                  <c:v>9.3423549070616616</c:v>
                </c:pt>
                <c:pt idx="95">
                  <c:v>9.4021390922263759</c:v>
                </c:pt>
                <c:pt idx="96">
                  <c:v>9.5416837635248193</c:v>
                </c:pt>
                <c:pt idx="97">
                  <c:v>9.5958847424808233</c:v>
                </c:pt>
                <c:pt idx="98">
                  <c:v>9.6207836425328512</c:v>
                </c:pt>
                <c:pt idx="99">
                  <c:v>9.7613404815510112</c:v>
                </c:pt>
                <c:pt idx="100">
                  <c:v>10.043801823079727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8-450B-A579-CA49F121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正弦力!$E$12:$E$112</c:f>
              <c:numCache>
                <c:formatCode>0.000_ </c:formatCode>
                <c:ptCount val="101"/>
                <c:pt idx="0">
                  <c:v>9.4317904942613495E-2</c:v>
                </c:pt>
                <c:pt idx="1">
                  <c:v>0.14842573632700073</c:v>
                </c:pt>
                <c:pt idx="2">
                  <c:v>0.11311555681092163</c:v>
                </c:pt>
                <c:pt idx="3">
                  <c:v>0.32841836257790236</c:v>
                </c:pt>
                <c:pt idx="4">
                  <c:v>0.57951276529448548</c:v>
                </c:pt>
                <c:pt idx="5">
                  <c:v>0.59287676635610553</c:v>
                </c:pt>
                <c:pt idx="6">
                  <c:v>0.5809164707964739</c:v>
                </c:pt>
                <c:pt idx="7">
                  <c:v>0.6432648942913135</c:v>
                </c:pt>
                <c:pt idx="8">
                  <c:v>0.73710639674142642</c:v>
                </c:pt>
                <c:pt idx="9">
                  <c:v>0.71319674073190664</c:v>
                </c:pt>
                <c:pt idx="10">
                  <c:v>0.89378545330488379</c:v>
                </c:pt>
                <c:pt idx="11">
                  <c:v>0.75010058485139464</c:v>
                </c:pt>
                <c:pt idx="12">
                  <c:v>0.745608141228147</c:v>
                </c:pt>
                <c:pt idx="13">
                  <c:v>0.61192503489926464</c:v>
                </c:pt>
                <c:pt idx="14">
                  <c:v>0.62170094986109559</c:v>
                </c:pt>
                <c:pt idx="15">
                  <c:v>0.81741410349026511</c:v>
                </c:pt>
                <c:pt idx="16">
                  <c:v>0.6931724395471538</c:v>
                </c:pt>
                <c:pt idx="17">
                  <c:v>0.82646934606799449</c:v>
                </c:pt>
                <c:pt idx="18">
                  <c:v>0.72350411613185583</c:v>
                </c:pt>
                <c:pt idx="19">
                  <c:v>0.73734261777935672</c:v>
                </c:pt>
                <c:pt idx="20">
                  <c:v>0.7754758555620771</c:v>
                </c:pt>
                <c:pt idx="21">
                  <c:v>0.7832550266702647</c:v>
                </c:pt>
                <c:pt idx="22">
                  <c:v>0.44087583684201204</c:v>
                </c:pt>
                <c:pt idx="23">
                  <c:v>0.60508516910713506</c:v>
                </c:pt>
                <c:pt idx="24">
                  <c:v>0.51518699229826748</c:v>
                </c:pt>
                <c:pt idx="25">
                  <c:v>0.68437101760692087</c:v>
                </c:pt>
                <c:pt idx="26">
                  <c:v>0.55761034034057699</c:v>
                </c:pt>
                <c:pt idx="27">
                  <c:v>0.35326063655940265</c:v>
                </c:pt>
                <c:pt idx="28">
                  <c:v>0.39072569398924251</c:v>
                </c:pt>
                <c:pt idx="29">
                  <c:v>0.32704364898810301</c:v>
                </c:pt>
                <c:pt idx="30">
                  <c:v>0.32538539733271077</c:v>
                </c:pt>
                <c:pt idx="31">
                  <c:v>0.10144961593359292</c:v>
                </c:pt>
                <c:pt idx="32">
                  <c:v>-1.7489361144661153E-2</c:v>
                </c:pt>
                <c:pt idx="33">
                  <c:v>-0.14917019898144268</c:v>
                </c:pt>
                <c:pt idx="34">
                  <c:v>-0.15463062088921631</c:v>
                </c:pt>
                <c:pt idx="35">
                  <c:v>-0.31884063234979121</c:v>
                </c:pt>
                <c:pt idx="36">
                  <c:v>-0.10258364817208232</c:v>
                </c:pt>
                <c:pt idx="37">
                  <c:v>-0.17937236340811635</c:v>
                </c:pt>
                <c:pt idx="38">
                  <c:v>-0.43568545568420047</c:v>
                </c:pt>
                <c:pt idx="39">
                  <c:v>-0.46580882332338081</c:v>
                </c:pt>
                <c:pt idx="40">
                  <c:v>-0.33097256836257571</c:v>
                </c:pt>
                <c:pt idx="41">
                  <c:v>-0.48973673063494449</c:v>
                </c:pt>
                <c:pt idx="42">
                  <c:v>-0.56715885660803678</c:v>
                </c:pt>
                <c:pt idx="43">
                  <c:v>-0.62857915189522195</c:v>
                </c:pt>
                <c:pt idx="44">
                  <c:v>-0.7000557430527663</c:v>
                </c:pt>
                <c:pt idx="45">
                  <c:v>-0.58796248003428908</c:v>
                </c:pt>
                <c:pt idx="46">
                  <c:v>-0.75926808733688822</c:v>
                </c:pt>
                <c:pt idx="47">
                  <c:v>-0.84050587153872747</c:v>
                </c:pt>
                <c:pt idx="48">
                  <c:v>-0.69430931263801599</c:v>
                </c:pt>
                <c:pt idx="49">
                  <c:v>-0.90144394064880706</c:v>
                </c:pt>
                <c:pt idx="50">
                  <c:v>-0.91376908960632242</c:v>
                </c:pt>
                <c:pt idx="51">
                  <c:v>-0.99714778589107933</c:v>
                </c:pt>
                <c:pt idx="52">
                  <c:v>-1.0556158237434725</c:v>
                </c:pt>
                <c:pt idx="53">
                  <c:v>-1.0013393789651275</c:v>
                </c:pt>
                <c:pt idx="54">
                  <c:v>-1.0853437173288907</c:v>
                </c:pt>
                <c:pt idx="55">
                  <c:v>-1.09261678976316</c:v>
                </c:pt>
                <c:pt idx="56">
                  <c:v>-1.0247059959852134</c:v>
                </c:pt>
                <c:pt idx="57">
                  <c:v>-1.1286438552195497</c:v>
                </c:pt>
                <c:pt idx="58">
                  <c:v>-1.0241285177394237</c:v>
                </c:pt>
                <c:pt idx="59">
                  <c:v>-1.0584402196380123</c:v>
                </c:pt>
                <c:pt idx="60">
                  <c:v>-0.93140699904841473</c:v>
                </c:pt>
                <c:pt idx="61">
                  <c:v>-1.1425391297905956</c:v>
                </c:pt>
                <c:pt idx="62">
                  <c:v>-1.0142660585319536</c:v>
                </c:pt>
                <c:pt idx="63">
                  <c:v>-1.0097008852396809</c:v>
                </c:pt>
                <c:pt idx="64">
                  <c:v>-1.057850297920679</c:v>
                </c:pt>
                <c:pt idx="65">
                  <c:v>-0.99051925331107515</c:v>
                </c:pt>
                <c:pt idx="66">
                  <c:v>-1.0064425306769622</c:v>
                </c:pt>
                <c:pt idx="67">
                  <c:v>-1.0739902017069021</c:v>
                </c:pt>
                <c:pt idx="68">
                  <c:v>-0.85641821911582083</c:v>
                </c:pt>
                <c:pt idx="69">
                  <c:v>-1.1017750833238871</c:v>
                </c:pt>
                <c:pt idx="70">
                  <c:v>-0.64230576003456274</c:v>
                </c:pt>
                <c:pt idx="71">
                  <c:v>-0.82067201090531894</c:v>
                </c:pt>
                <c:pt idx="72">
                  <c:v>-0.76450650184949764</c:v>
                </c:pt>
                <c:pt idx="73">
                  <c:v>-0.71675940061189869</c:v>
                </c:pt>
                <c:pt idx="74">
                  <c:v>-0.70586775839006632</c:v>
                </c:pt>
                <c:pt idx="75">
                  <c:v>-0.42025622897716608</c:v>
                </c:pt>
                <c:pt idx="76">
                  <c:v>-0.42369367718031858</c:v>
                </c:pt>
                <c:pt idx="77">
                  <c:v>-0.52245434146137759</c:v>
                </c:pt>
                <c:pt idx="78">
                  <c:v>-0.33430021366057394</c:v>
                </c:pt>
                <c:pt idx="79">
                  <c:v>-0.3303800973608948</c:v>
                </c:pt>
                <c:pt idx="80">
                  <c:v>-0.14062882684946998</c:v>
                </c:pt>
                <c:pt idx="81">
                  <c:v>-0.17594807877413676</c:v>
                </c:pt>
                <c:pt idx="82">
                  <c:v>-0.19183876759971175</c:v>
                </c:pt>
                <c:pt idx="83">
                  <c:v>-0.16385640468096274</c:v>
                </c:pt>
                <c:pt idx="84">
                  <c:v>-5.3789876824631655E-2</c:v>
                </c:pt>
                <c:pt idx="85">
                  <c:v>0.12119234168585713</c:v>
                </c:pt>
                <c:pt idx="86">
                  <c:v>0.19518108400899115</c:v>
                </c:pt>
                <c:pt idx="87">
                  <c:v>0.50144872820734943</c:v>
                </c:pt>
                <c:pt idx="88">
                  <c:v>0.3609753936643989</c:v>
                </c:pt>
                <c:pt idx="89">
                  <c:v>0.33644352168912617</c:v>
                </c:pt>
                <c:pt idx="90">
                  <c:v>0.27945270581292392</c:v>
                </c:pt>
                <c:pt idx="91">
                  <c:v>0.65869092345885893</c:v>
                </c:pt>
                <c:pt idx="92">
                  <c:v>0.49464069924911769</c:v>
                </c:pt>
                <c:pt idx="93">
                  <c:v>0.63509699665638375</c:v>
                </c:pt>
                <c:pt idx="94">
                  <c:v>0.74203365922743236</c:v>
                </c:pt>
                <c:pt idx="95">
                  <c:v>0.72761447846940341</c:v>
                </c:pt>
                <c:pt idx="96">
                  <c:v>0.79439770192090653</c:v>
                </c:pt>
                <c:pt idx="97">
                  <c:v>0.76915891068482001</c:v>
                </c:pt>
                <c:pt idx="98">
                  <c:v>0.71714191966836593</c:v>
                </c:pt>
                <c:pt idx="99">
                  <c:v>0.78598456671968941</c:v>
                </c:pt>
                <c:pt idx="100">
                  <c:v>0.9898474515764365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7-4418-9197-0DD01F24D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13792"/>
        <c:axId val="455519552"/>
      </c:lineChart>
      <c:catAx>
        <c:axId val="45551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9552"/>
        <c:crosses val="autoZero"/>
        <c:auto val="1"/>
        <c:lblAlgn val="ctr"/>
        <c:lblOffset val="100"/>
        <c:noMultiLvlLbl val="0"/>
      </c:catAx>
      <c:valAx>
        <c:axId val="4555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正弦力!$F$12:$F$112</c:f>
              <c:numCache>
                <c:formatCode>0.000_ </c:formatCode>
                <c:ptCount val="101"/>
                <c:pt idx="0">
                  <c:v>0</c:v>
                </c:pt>
                <c:pt idx="1">
                  <c:v>1.4842573632700074E-2</c:v>
                </c:pt>
                <c:pt idx="2">
                  <c:v>2.6154129313792237E-2</c:v>
                </c:pt>
                <c:pt idx="3">
                  <c:v>5.8995965571582473E-2</c:v>
                </c:pt>
                <c:pt idx="4">
                  <c:v>0.11694724210103102</c:v>
                </c:pt>
                <c:pt idx="5">
                  <c:v>0.17623491873664157</c:v>
                </c:pt>
                <c:pt idx="6">
                  <c:v>0.23432656581628897</c:v>
                </c:pt>
                <c:pt idx="7">
                  <c:v>0.2986530552454203</c:v>
                </c:pt>
                <c:pt idx="8">
                  <c:v>0.37236369491956295</c:v>
                </c:pt>
                <c:pt idx="9">
                  <c:v>0.44368336899275362</c:v>
                </c:pt>
                <c:pt idx="10">
                  <c:v>0.53306191432324201</c:v>
                </c:pt>
                <c:pt idx="11">
                  <c:v>0.60807197280838143</c:v>
                </c:pt>
                <c:pt idx="12">
                  <c:v>0.68263278693119611</c:v>
                </c:pt>
                <c:pt idx="13">
                  <c:v>0.74382529042112255</c:v>
                </c:pt>
                <c:pt idx="14">
                  <c:v>0.80599538540723215</c:v>
                </c:pt>
                <c:pt idx="15">
                  <c:v>0.88773679575625863</c:v>
                </c:pt>
                <c:pt idx="16">
                  <c:v>0.95705403971097402</c:v>
                </c:pt>
                <c:pt idx="17">
                  <c:v>1.0397009743177734</c:v>
                </c:pt>
                <c:pt idx="18">
                  <c:v>1.1120513859309591</c:v>
                </c:pt>
                <c:pt idx="19">
                  <c:v>1.1857856477088948</c:v>
                </c:pt>
                <c:pt idx="20">
                  <c:v>1.2633332332651026</c:v>
                </c:pt>
                <c:pt idx="21">
                  <c:v>1.341658735932129</c:v>
                </c:pt>
                <c:pt idx="22">
                  <c:v>1.3857463196163302</c:v>
                </c:pt>
                <c:pt idx="23">
                  <c:v>1.4462548365270438</c:v>
                </c:pt>
                <c:pt idx="24">
                  <c:v>1.4977735357568704</c:v>
                </c:pt>
                <c:pt idx="25">
                  <c:v>1.5662106375175626</c:v>
                </c:pt>
                <c:pt idx="26">
                  <c:v>1.6219716715516204</c:v>
                </c:pt>
                <c:pt idx="27">
                  <c:v>1.6572977352075606</c:v>
                </c:pt>
                <c:pt idx="28">
                  <c:v>1.6963703046064849</c:v>
                </c:pt>
                <c:pt idx="29">
                  <c:v>1.7290746695052952</c:v>
                </c:pt>
                <c:pt idx="30">
                  <c:v>1.7616132092385663</c:v>
                </c:pt>
                <c:pt idx="31">
                  <c:v>1.7717581708319257</c:v>
                </c:pt>
                <c:pt idx="32">
                  <c:v>1.7700092347174596</c:v>
                </c:pt>
                <c:pt idx="33">
                  <c:v>1.7550922148193153</c:v>
                </c:pt>
                <c:pt idx="34">
                  <c:v>1.7396291527303938</c:v>
                </c:pt>
                <c:pt idx="35">
                  <c:v>1.7077450894954147</c:v>
                </c:pt>
                <c:pt idx="36">
                  <c:v>1.6974867246782064</c:v>
                </c:pt>
                <c:pt idx="37">
                  <c:v>1.6795494883373947</c:v>
                </c:pt>
                <c:pt idx="38">
                  <c:v>1.6359809427689747</c:v>
                </c:pt>
                <c:pt idx="39">
                  <c:v>1.5894000604366365</c:v>
                </c:pt>
                <c:pt idx="40">
                  <c:v>1.556302803600379</c:v>
                </c:pt>
                <c:pt idx="41">
                  <c:v>1.5073291305368846</c:v>
                </c:pt>
                <c:pt idx="42">
                  <c:v>1.4506132448760809</c:v>
                </c:pt>
                <c:pt idx="43">
                  <c:v>1.3877553296865588</c:v>
                </c:pt>
                <c:pt idx="44">
                  <c:v>1.3177497553812823</c:v>
                </c:pt>
                <c:pt idx="45">
                  <c:v>1.2589535073778533</c:v>
                </c:pt>
                <c:pt idx="46">
                  <c:v>1.1830266986441644</c:v>
                </c:pt>
                <c:pt idx="47">
                  <c:v>1.0989761114902916</c:v>
                </c:pt>
                <c:pt idx="48">
                  <c:v>1.0295451802264901</c:v>
                </c:pt>
                <c:pt idx="49">
                  <c:v>0.93940078616160938</c:v>
                </c:pt>
                <c:pt idx="50">
                  <c:v>0.84802387720097716</c:v>
                </c:pt>
                <c:pt idx="51">
                  <c:v>0.74830909861186923</c:v>
                </c:pt>
                <c:pt idx="52">
                  <c:v>0.64274751623752202</c:v>
                </c:pt>
                <c:pt idx="53">
                  <c:v>0.54261357834100932</c:v>
                </c:pt>
                <c:pt idx="54">
                  <c:v>0.43407920660812027</c:v>
                </c:pt>
                <c:pt idx="55">
                  <c:v>0.32481752763180427</c:v>
                </c:pt>
                <c:pt idx="56">
                  <c:v>0.22234692803328293</c:v>
                </c:pt>
                <c:pt idx="57">
                  <c:v>0.10948254251132795</c:v>
                </c:pt>
                <c:pt idx="58">
                  <c:v>7.0696907373855727E-3</c:v>
                </c:pt>
                <c:pt idx="59">
                  <c:v>-9.8774331226415657E-2</c:v>
                </c:pt>
                <c:pt idx="60">
                  <c:v>-0.19191503113125713</c:v>
                </c:pt>
                <c:pt idx="61">
                  <c:v>-0.3061689441103167</c:v>
                </c:pt>
                <c:pt idx="62">
                  <c:v>-0.40759554996351205</c:v>
                </c:pt>
                <c:pt idx="63">
                  <c:v>-0.50856563848748015</c:v>
                </c:pt>
                <c:pt idx="64">
                  <c:v>-0.6143506682795481</c:v>
                </c:pt>
                <c:pt idx="65">
                  <c:v>-0.71340259361065561</c:v>
                </c:pt>
                <c:pt idx="66">
                  <c:v>-0.81404684667835181</c:v>
                </c:pt>
                <c:pt idx="67">
                  <c:v>-0.92144586684904206</c:v>
                </c:pt>
                <c:pt idx="68">
                  <c:v>-1.0070876887606242</c:v>
                </c:pt>
                <c:pt idx="69">
                  <c:v>-1.1172651970930128</c:v>
                </c:pt>
                <c:pt idx="70">
                  <c:v>-1.181495773096469</c:v>
                </c:pt>
                <c:pt idx="71">
                  <c:v>-1.2635629741870009</c:v>
                </c:pt>
                <c:pt idx="72">
                  <c:v>-1.3400136243719507</c:v>
                </c:pt>
                <c:pt idx="73">
                  <c:v>-1.4116895644331406</c:v>
                </c:pt>
                <c:pt idx="74">
                  <c:v>-1.4822763402721473</c:v>
                </c:pt>
                <c:pt idx="75">
                  <c:v>-1.5243019631698638</c:v>
                </c:pt>
                <c:pt idx="76">
                  <c:v>-1.5666713308878957</c:v>
                </c:pt>
                <c:pt idx="77">
                  <c:v>-1.6189167650340335</c:v>
                </c:pt>
                <c:pt idx="78">
                  <c:v>-1.6523467864000909</c:v>
                </c:pt>
                <c:pt idx="79">
                  <c:v>-1.6853847961361803</c:v>
                </c:pt>
                <c:pt idx="80">
                  <c:v>-1.6994476788211272</c:v>
                </c:pt>
                <c:pt idx="81">
                  <c:v>-1.717042486698541</c:v>
                </c:pt>
                <c:pt idx="82">
                  <c:v>-1.7362263634585122</c:v>
                </c:pt>
                <c:pt idx="83">
                  <c:v>-1.7526120039266084</c:v>
                </c:pt>
                <c:pt idx="84">
                  <c:v>-1.7579909916090717</c:v>
                </c:pt>
                <c:pt idx="85">
                  <c:v>-1.7458717574404861</c:v>
                </c:pt>
                <c:pt idx="86">
                  <c:v>-1.726353649039587</c:v>
                </c:pt>
                <c:pt idx="87">
                  <c:v>-1.676208776218852</c:v>
                </c:pt>
                <c:pt idx="88">
                  <c:v>-1.640111236852412</c:v>
                </c:pt>
                <c:pt idx="89">
                  <c:v>-1.6064668846834993</c:v>
                </c:pt>
                <c:pt idx="90">
                  <c:v>-1.5785216141022069</c:v>
                </c:pt>
                <c:pt idx="91">
                  <c:v>-1.5126525217563209</c:v>
                </c:pt>
                <c:pt idx="92">
                  <c:v>-1.4631884518314091</c:v>
                </c:pt>
                <c:pt idx="93">
                  <c:v>-1.3996787521657708</c:v>
                </c:pt>
                <c:pt idx="94">
                  <c:v>-1.3254753862430275</c:v>
                </c:pt>
                <c:pt idx="95">
                  <c:v>-1.2527139383960872</c:v>
                </c:pt>
                <c:pt idx="96">
                  <c:v>-1.1732741682039967</c:v>
                </c:pt>
                <c:pt idx="97">
                  <c:v>-1.0963582771355147</c:v>
                </c:pt>
                <c:pt idx="98">
                  <c:v>-1.0246440851686782</c:v>
                </c:pt>
                <c:pt idx="99">
                  <c:v>-0.94604562849670926</c:v>
                </c:pt>
                <c:pt idx="100">
                  <c:v>-0.8470608833390656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0-49AA-8F26-45F0403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正弦力!$G$12:$G$112</c:f>
              <c:numCache>
                <c:formatCode>0.000_ </c:formatCode>
                <c:ptCount val="101"/>
                <c:pt idx="0">
                  <c:v>0</c:v>
                </c:pt>
                <c:pt idx="1">
                  <c:v>1.4842573632700075E-3</c:v>
                </c:pt>
                <c:pt idx="2">
                  <c:v>4.0996702946492318E-3</c:v>
                </c:pt>
                <c:pt idx="3">
                  <c:v>9.9992668518074784E-3</c:v>
                </c:pt>
                <c:pt idx="4">
                  <c:v>2.1693991061910584E-2</c:v>
                </c:pt>
                <c:pt idx="5">
                  <c:v>3.9317482935574743E-2</c:v>
                </c:pt>
                <c:pt idx="6">
                  <c:v>6.2750139517203637E-2</c:v>
                </c:pt>
                <c:pt idx="7">
                  <c:v>9.2615445041745667E-2</c:v>
                </c:pt>
                <c:pt idx="8">
                  <c:v>0.12985181453370195</c:v>
                </c:pt>
                <c:pt idx="9">
                  <c:v>0.17422015143297731</c:v>
                </c:pt>
                <c:pt idx="10">
                  <c:v>0.22752634286530152</c:v>
                </c:pt>
                <c:pt idx="11">
                  <c:v>0.28833354014613966</c:v>
                </c:pt>
                <c:pt idx="12">
                  <c:v>0.35659681883925926</c:v>
                </c:pt>
                <c:pt idx="13">
                  <c:v>0.43097934788137149</c:v>
                </c:pt>
                <c:pt idx="14">
                  <c:v>0.5115788864220947</c:v>
                </c:pt>
                <c:pt idx="15">
                  <c:v>0.60035256599772058</c:v>
                </c:pt>
                <c:pt idx="16">
                  <c:v>0.69605796996881797</c:v>
                </c:pt>
                <c:pt idx="17">
                  <c:v>0.80002806740059529</c:v>
                </c:pt>
                <c:pt idx="18">
                  <c:v>0.91123320599369118</c:v>
                </c:pt>
                <c:pt idx="19">
                  <c:v>1.0298117707645806</c:v>
                </c:pt>
                <c:pt idx="20">
                  <c:v>1.1561450940910909</c:v>
                </c:pt>
                <c:pt idx="21">
                  <c:v>1.2903109676843039</c:v>
                </c:pt>
                <c:pt idx="22">
                  <c:v>1.4288855996459369</c:v>
                </c:pt>
                <c:pt idx="23">
                  <c:v>1.5735110832986412</c:v>
                </c:pt>
                <c:pt idx="24">
                  <c:v>1.7232884368743282</c:v>
                </c:pt>
                <c:pt idx="25">
                  <c:v>1.8799095006260844</c:v>
                </c:pt>
                <c:pt idx="26">
                  <c:v>2.0421066677812463</c:v>
                </c:pt>
                <c:pt idx="27">
                  <c:v>2.2078364413020024</c:v>
                </c:pt>
                <c:pt idx="28">
                  <c:v>2.3774734717626509</c:v>
                </c:pt>
                <c:pt idx="29">
                  <c:v>2.5503809387131806</c:v>
                </c:pt>
                <c:pt idx="30">
                  <c:v>2.7265422596370374</c:v>
                </c:pt>
                <c:pt idx="31">
                  <c:v>2.9037180767202302</c:v>
                </c:pt>
                <c:pt idx="32">
                  <c:v>3.080719000191976</c:v>
                </c:pt>
                <c:pt idx="33">
                  <c:v>3.2562282216739074</c:v>
                </c:pt>
                <c:pt idx="34">
                  <c:v>3.4301911369469469</c:v>
                </c:pt>
                <c:pt idx="35">
                  <c:v>3.6009656458964883</c:v>
                </c:pt>
                <c:pt idx="36">
                  <c:v>3.770714318364309</c:v>
                </c:pt>
                <c:pt idx="37">
                  <c:v>3.9386692671980486</c:v>
                </c:pt>
                <c:pt idx="38">
                  <c:v>4.1022673614749463</c:v>
                </c:pt>
                <c:pt idx="39">
                  <c:v>4.26120736751861</c:v>
                </c:pt>
                <c:pt idx="40">
                  <c:v>4.4168376478786477</c:v>
                </c:pt>
                <c:pt idx="41">
                  <c:v>4.567570560932336</c:v>
                </c:pt>
                <c:pt idx="42">
                  <c:v>4.7126318854199445</c:v>
                </c:pt>
                <c:pt idx="43">
                  <c:v>4.8514074183886002</c:v>
                </c:pt>
                <c:pt idx="44">
                  <c:v>4.9831823939267288</c:v>
                </c:pt>
                <c:pt idx="45">
                  <c:v>5.1090777446645141</c:v>
                </c:pt>
                <c:pt idx="46">
                  <c:v>5.2273804145289304</c:v>
                </c:pt>
                <c:pt idx="47">
                  <c:v>5.3372780256779597</c:v>
                </c:pt>
                <c:pt idx="48">
                  <c:v>5.4402325437006089</c:v>
                </c:pt>
                <c:pt idx="49">
                  <c:v>5.5341726223167695</c:v>
                </c:pt>
                <c:pt idx="50">
                  <c:v>5.6189750100368672</c:v>
                </c:pt>
                <c:pt idx="51">
                  <c:v>5.693805919898054</c:v>
                </c:pt>
                <c:pt idx="52">
                  <c:v>5.7580806715218058</c:v>
                </c:pt>
                <c:pt idx="53">
                  <c:v>5.8123420293559072</c:v>
                </c:pt>
                <c:pt idx="54">
                  <c:v>5.8557499500167189</c:v>
                </c:pt>
                <c:pt idx="55">
                  <c:v>5.8882317027798994</c:v>
                </c:pt>
                <c:pt idx="56">
                  <c:v>5.9104663955832279</c:v>
                </c:pt>
                <c:pt idx="57">
                  <c:v>5.9214146498343609</c:v>
                </c:pt>
                <c:pt idx="58">
                  <c:v>5.9221216189080996</c:v>
                </c:pt>
                <c:pt idx="59">
                  <c:v>5.9122441857854584</c:v>
                </c:pt>
                <c:pt idx="60">
                  <c:v>5.8930526826723328</c:v>
                </c:pt>
                <c:pt idx="61">
                  <c:v>5.8624357882613012</c:v>
                </c:pt>
                <c:pt idx="62">
                  <c:v>5.8216762332649497</c:v>
                </c:pt>
                <c:pt idx="63">
                  <c:v>5.7708196694162019</c:v>
                </c:pt>
                <c:pt idx="64">
                  <c:v>5.7093846025882469</c:v>
                </c:pt>
                <c:pt idx="65">
                  <c:v>5.6380443432271816</c:v>
                </c:pt>
                <c:pt idx="66">
                  <c:v>5.5566396585593463</c:v>
                </c:pt>
                <c:pt idx="67">
                  <c:v>5.4644950718744418</c:v>
                </c:pt>
                <c:pt idx="68">
                  <c:v>5.3637863029983794</c:v>
                </c:pt>
                <c:pt idx="69">
                  <c:v>5.2520597832890781</c:v>
                </c:pt>
                <c:pt idx="70">
                  <c:v>5.133910205979431</c:v>
                </c:pt>
                <c:pt idx="71">
                  <c:v>5.0075539085607312</c:v>
                </c:pt>
                <c:pt idx="72">
                  <c:v>4.8735525461235358</c:v>
                </c:pt>
                <c:pt idx="73">
                  <c:v>4.7323835896802215</c:v>
                </c:pt>
                <c:pt idx="74">
                  <c:v>4.5841559556530065</c:v>
                </c:pt>
                <c:pt idx="75">
                  <c:v>4.43172575933602</c:v>
                </c:pt>
                <c:pt idx="76">
                  <c:v>4.2750586262472305</c:v>
                </c:pt>
                <c:pt idx="77">
                  <c:v>4.1131669497438272</c:v>
                </c:pt>
                <c:pt idx="78">
                  <c:v>3.9479322711038183</c:v>
                </c:pt>
                <c:pt idx="79">
                  <c:v>3.7793937914902003</c:v>
                </c:pt>
                <c:pt idx="80">
                  <c:v>3.6094490236080876</c:v>
                </c:pt>
                <c:pt idx="81">
                  <c:v>3.4377447749382335</c:v>
                </c:pt>
                <c:pt idx="82">
                  <c:v>3.2641221385923824</c:v>
                </c:pt>
                <c:pt idx="83">
                  <c:v>3.0888609381997214</c:v>
                </c:pt>
                <c:pt idx="84">
                  <c:v>2.9130618390388143</c:v>
                </c:pt>
                <c:pt idx="85">
                  <c:v>2.7384746632947659</c:v>
                </c:pt>
                <c:pt idx="86">
                  <c:v>2.5658392983908072</c:v>
                </c:pt>
                <c:pt idx="87">
                  <c:v>2.3982184207689219</c:v>
                </c:pt>
                <c:pt idx="88">
                  <c:v>2.2342072970836808</c:v>
                </c:pt>
                <c:pt idx="89">
                  <c:v>2.0735606086153311</c:v>
                </c:pt>
                <c:pt idx="90">
                  <c:v>1.9157084472051105</c:v>
                </c:pt>
                <c:pt idx="91">
                  <c:v>1.7644431950294783</c:v>
                </c:pt>
                <c:pt idx="92">
                  <c:v>1.6181243498463374</c:v>
                </c:pt>
                <c:pt idx="93">
                  <c:v>1.4781564746297602</c:v>
                </c:pt>
                <c:pt idx="94">
                  <c:v>1.3456089360054575</c:v>
                </c:pt>
                <c:pt idx="95">
                  <c:v>1.2203375421658489</c:v>
                </c:pt>
                <c:pt idx="96">
                  <c:v>1.1030101253454492</c:v>
                </c:pt>
                <c:pt idx="97">
                  <c:v>0.99337429763189766</c:v>
                </c:pt>
                <c:pt idx="98">
                  <c:v>0.89090988911502977</c:v>
                </c:pt>
                <c:pt idx="99">
                  <c:v>0.79630532626535888</c:v>
                </c:pt>
                <c:pt idx="100">
                  <c:v>0.7115992379314523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E-4839-8F28-3FAF92590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x'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正弦力!$H$12:$H$112</c:f>
              <c:numCache>
                <c:formatCode>0.000_ </c:formatCode>
                <c:ptCount val="101"/>
                <c:pt idx="0">
                  <c:v>1.5496439470832298E-3</c:v>
                </c:pt>
                <c:pt idx="1">
                  <c:v>2.8756613018356665E-3</c:v>
                </c:pt>
                <c:pt idx="2">
                  <c:v>-3.083101843800274E-3</c:v>
                </c:pt>
                <c:pt idx="3">
                  <c:v>4.2477556676929155E-3</c:v>
                </c:pt>
                <c:pt idx="4">
                  <c:v>3.0578543096653518E-2</c:v>
                </c:pt>
                <c:pt idx="5">
                  <c:v>3.9659258137459297E-2</c:v>
                </c:pt>
                <c:pt idx="6">
                  <c:v>6.5874707092824003E-2</c:v>
                </c:pt>
                <c:pt idx="7">
                  <c:v>8.2897812057886683E-2</c:v>
                </c:pt>
                <c:pt idx="8">
                  <c:v>0.13639175852410351</c:v>
                </c:pt>
                <c:pt idx="9">
                  <c:v>0.17737481535460994</c:v>
                </c:pt>
                <c:pt idx="10">
                  <c:v>0.22967899938043052</c:v>
                </c:pt>
                <c:pt idx="11">
                  <c:v>0.26852546243549075</c:v>
                </c:pt>
                <c:pt idx="12">
                  <c:v>0.34523578968877316</c:v>
                </c:pt>
                <c:pt idx="13">
                  <c:v>0.43303606512214876</c:v>
                </c:pt>
                <c:pt idx="14">
                  <c:v>0.51295659320976772</c:v>
                </c:pt>
                <c:pt idx="15">
                  <c:v>0.62099728390238229</c:v>
                </c:pt>
                <c:pt idx="16">
                  <c:v>0.68972870629591843</c:v>
                </c:pt>
                <c:pt idx="17">
                  <c:v>0.79493419111542163</c:v>
                </c:pt>
                <c:pt idx="18">
                  <c:v>0.92362428889708348</c:v>
                </c:pt>
                <c:pt idx="19">
                  <c:v>1.0368244673140785</c:v>
                </c:pt>
                <c:pt idx="20">
                  <c:v>1.141499525575782</c:v>
                </c:pt>
                <c:pt idx="21">
                  <c:v>1.2936744150912582</c:v>
                </c:pt>
                <c:pt idx="22">
                  <c:v>1.4236755074519523</c:v>
                </c:pt>
                <c:pt idx="23">
                  <c:v>1.5856739737598378</c:v>
                </c:pt>
                <c:pt idx="24">
                  <c:v>1.7293248414987874</c:v>
                </c:pt>
                <c:pt idx="25">
                  <c:v>1.902927885336392</c:v>
                </c:pt>
                <c:pt idx="26">
                  <c:v>2.0288451569891786</c:v>
                </c:pt>
                <c:pt idx="27">
                  <c:v>2.2102208833195456</c:v>
                </c:pt>
                <c:pt idx="28">
                  <c:v>2.3721382461523071</c:v>
                </c:pt>
                <c:pt idx="29">
                  <c:v>2.5384463728705131</c:v>
                </c:pt>
                <c:pt idx="30">
                  <c:v>2.7297462261434084</c:v>
                </c:pt>
                <c:pt idx="31">
                  <c:v>2.901356852958898</c:v>
                </c:pt>
                <c:pt idx="32">
                  <c:v>3.0741549247539046</c:v>
                </c:pt>
                <c:pt idx="33">
                  <c:v>3.2671472713030192</c:v>
                </c:pt>
                <c:pt idx="34">
                  <c:v>3.4342220272446973</c:v>
                </c:pt>
                <c:pt idx="35">
                  <c:v>3.5923209459017325</c:v>
                </c:pt>
                <c:pt idx="36">
                  <c:v>3.7771879631115723</c:v>
                </c:pt>
                <c:pt idx="37">
                  <c:v>3.9433612286553146</c:v>
                </c:pt>
                <c:pt idx="38">
                  <c:v>4.1005568952294862</c:v>
                </c:pt>
                <c:pt idx="39">
                  <c:v>4.2579087863341556</c:v>
                </c:pt>
                <c:pt idx="40">
                  <c:v>4.4215552797672659</c:v>
                </c:pt>
                <c:pt idx="41">
                  <c:v>4.5902266822476827</c:v>
                </c:pt>
                <c:pt idx="42">
                  <c:v>4.6988647822078615</c:v>
                </c:pt>
                <c:pt idx="43">
                  <c:v>4.8618901565933834</c:v>
                </c:pt>
                <c:pt idx="44">
                  <c:v>4.9964024354526879</c:v>
                </c:pt>
                <c:pt idx="45">
                  <c:v>5.1103925713644562</c:v>
                </c:pt>
                <c:pt idx="46">
                  <c:v>5.2115551932326669</c:v>
                </c:pt>
                <c:pt idx="47">
                  <c:v>5.3200281928167223</c:v>
                </c:pt>
                <c:pt idx="48">
                  <c:v>5.4493030479712674</c:v>
                </c:pt>
                <c:pt idx="49">
                  <c:v>5.5176352135561437</c:v>
                </c:pt>
                <c:pt idx="50">
                  <c:v>5.6194739916280128</c:v>
                </c:pt>
                <c:pt idx="51">
                  <c:v>5.6882252159702489</c:v>
                </c:pt>
                <c:pt idx="52">
                  <c:v>5.7635551028946779</c:v>
                </c:pt>
                <c:pt idx="53">
                  <c:v>5.8262518585866463</c:v>
                </c:pt>
                <c:pt idx="54">
                  <c:v>5.8638272846356188</c:v>
                </c:pt>
                <c:pt idx="55">
                  <c:v>5.8817610239423992</c:v>
                </c:pt>
                <c:pt idx="56">
                  <c:v>5.9127745173166835</c:v>
                </c:pt>
                <c:pt idx="57">
                  <c:v>5.9155271988579292</c:v>
                </c:pt>
                <c:pt idx="58">
                  <c:v>5.914177744471611</c:v>
                </c:pt>
                <c:pt idx="59">
                  <c:v>5.9232274412722017</c:v>
                </c:pt>
                <c:pt idx="60">
                  <c:v>5.9140564019216821</c:v>
                </c:pt>
                <c:pt idx="61">
                  <c:v>5.8483733432444973</c:v>
                </c:pt>
                <c:pt idx="62">
                  <c:v>5.8310729295673571</c:v>
                </c:pt>
                <c:pt idx="63">
                  <c:v>5.766208998295423</c:v>
                </c:pt>
                <c:pt idx="64">
                  <c:v>5.706794119779433</c:v>
                </c:pt>
                <c:pt idx="65">
                  <c:v>5.6416803232760833</c:v>
                </c:pt>
                <c:pt idx="66">
                  <c:v>5.5520045741958954</c:v>
                </c:pt>
                <c:pt idx="67">
                  <c:v>5.4657120357097124</c:v>
                </c:pt>
                <c:pt idx="68">
                  <c:v>5.3485463107150055</c:v>
                </c:pt>
                <c:pt idx="69">
                  <c:v>5.2527682011296033</c:v>
                </c:pt>
                <c:pt idx="70">
                  <c:v>5.1318577290577165</c:v>
                </c:pt>
                <c:pt idx="71">
                  <c:v>4.9992392416812228</c:v>
                </c:pt>
                <c:pt idx="72">
                  <c:v>4.8710760314874477</c:v>
                </c:pt>
                <c:pt idx="73">
                  <c:v>4.7320143876308824</c:v>
                </c:pt>
                <c:pt idx="74">
                  <c:v>4.5745325918003017</c:v>
                </c:pt>
                <c:pt idx="75">
                  <c:v>4.4231159415092387</c:v>
                </c:pt>
                <c:pt idx="76">
                  <c:v>4.2685573870938116</c:v>
                </c:pt>
                <c:pt idx="77">
                  <c:v>4.1037976222714896</c:v>
                </c:pt>
                <c:pt idx="78">
                  <c:v>3.9515032588916976</c:v>
                </c:pt>
                <c:pt idx="79">
                  <c:v>3.7887476852776802</c:v>
                </c:pt>
                <c:pt idx="80">
                  <c:v>3.6041367168850371</c:v>
                </c:pt>
                <c:pt idx="81">
                  <c:v>3.4270521944121706</c:v>
                </c:pt>
                <c:pt idx="82">
                  <c:v>3.2617997086510657</c:v>
                </c:pt>
                <c:pt idx="83">
                  <c:v>3.0887438167851067</c:v>
                </c:pt>
                <c:pt idx="84">
                  <c:v>2.9107906088482718</c:v>
                </c:pt>
                <c:pt idx="85">
                  <c:v>2.7525211154261244</c:v>
                </c:pt>
                <c:pt idx="86">
                  <c:v>2.5476957383809835</c:v>
                </c:pt>
                <c:pt idx="87">
                  <c:v>2.4018041313232192</c:v>
                </c:pt>
                <c:pt idx="88">
                  <c:v>2.2312798149337922</c:v>
                </c:pt>
                <c:pt idx="89">
                  <c:v>2.0967372607554453</c:v>
                </c:pt>
                <c:pt idx="90">
                  <c:v>1.8976742962735416</c:v>
                </c:pt>
                <c:pt idx="91">
                  <c:v>1.7662852500024995</c:v>
                </c:pt>
                <c:pt idx="92">
                  <c:v>1.6216260055900706</c:v>
                </c:pt>
                <c:pt idx="93">
                  <c:v>1.4891107708788529</c:v>
                </c:pt>
                <c:pt idx="94">
                  <c:v>1.3440439915095039</c:v>
                </c:pt>
                <c:pt idx="95">
                  <c:v>1.2308643105192763</c:v>
                </c:pt>
                <c:pt idx="96">
                  <c:v>1.0820074195200284</c:v>
                </c:pt>
                <c:pt idx="97">
                  <c:v>0.99463161584011073</c:v>
                </c:pt>
                <c:pt idx="98">
                  <c:v>0.89421883724077089</c:v>
                </c:pt>
                <c:pt idx="99">
                  <c:v>0.78285836766444183</c:v>
                </c:pt>
                <c:pt idx="100">
                  <c:v>0.72366761578980154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A-40B8-B5D6-964FD1A93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正弦力!$I$12:$I$112</c:f>
              <c:numCache>
                <c:formatCode>0.000_ </c:formatCode>
                <c:ptCount val="101"/>
                <c:pt idx="0">
                  <c:v>1.5496439470832298E-3</c:v>
                </c:pt>
                <c:pt idx="1">
                  <c:v>1.5496439470832298E-3</c:v>
                </c:pt>
                <c:pt idx="2">
                  <c:v>1.5629041206307542E-3</c:v>
                </c:pt>
                <c:pt idx="3">
                  <c:v>2.7722544515727133E-3</c:v>
                </c:pt>
                <c:pt idx="4">
                  <c:v>6.4239034865476432E-3</c:v>
                </c:pt>
                <c:pt idx="5">
                  <c:v>1.3686280794895554E-2</c:v>
                </c:pt>
                <c:pt idx="6">
                  <c:v>2.523855613264046E-2</c:v>
                </c:pt>
                <c:pt idx="7">
                  <c:v>4.1988548537628588E-2</c:v>
                </c:pt>
                <c:pt idx="8">
                  <c:v>6.4469400032372393E-2</c:v>
                </c:pt>
                <c:pt idx="9">
                  <c:v>9.3568792422178276E-2</c:v>
                </c:pt>
                <c:pt idx="10">
                  <c:v>0.12958407805793662</c:v>
                </c:pt>
                <c:pt idx="11">
                  <c:v>0.17296106603653211</c:v>
                </c:pt>
                <c:pt idx="12">
                  <c:v>0.22381084993520464</c:v>
                </c:pt>
                <c:pt idx="13">
                  <c:v>0.28267830506892877</c:v>
                </c:pt>
                <c:pt idx="14">
                  <c:v>0.34976070995060438</c:v>
                </c:pt>
                <c:pt idx="15">
                  <c:v>0.42499298588465328</c:v>
                </c:pt>
                <c:pt idx="16">
                  <c:v>0.50860357911165788</c:v>
                </c:pt>
                <c:pt idx="17">
                  <c:v>0.60008066549314409</c:v>
                </c:pt>
                <c:pt idx="18">
                  <c:v>0.69961501085808631</c:v>
                </c:pt>
                <c:pt idx="19">
                  <c:v>0.80720846633720111</c:v>
                </c:pt>
                <c:pt idx="20">
                  <c:v>0.9224191938251427</c:v>
                </c:pt>
                <c:pt idx="21">
                  <c:v>1.0448286375907696</c:v>
                </c:pt>
                <c:pt idx="22">
                  <c:v>1.1745350020949861</c:v>
                </c:pt>
                <c:pt idx="23">
                  <c:v>1.3108941864274186</c:v>
                </c:pt>
                <c:pt idx="24">
                  <c:v>1.4537687306662934</c:v>
                </c:pt>
                <c:pt idx="25">
                  <c:v>1.6024806575299033</c:v>
                </c:pt>
                <c:pt idx="26">
                  <c:v>1.7568063935562901</c:v>
                </c:pt>
                <c:pt idx="27">
                  <c:v>1.9157159185641088</c:v>
                </c:pt>
                <c:pt idx="28">
                  <c:v>2.0791917264163695</c:v>
                </c:pt>
                <c:pt idx="29">
                  <c:v>2.246441168024254</c:v>
                </c:pt>
                <c:pt idx="30">
                  <c:v>2.4168949438567631</c:v>
                </c:pt>
                <c:pt idx="31">
                  <c:v>2.5901754713078438</c:v>
                </c:pt>
                <c:pt idx="32">
                  <c:v>2.7654452286156506</c:v>
                </c:pt>
                <c:pt idx="33">
                  <c:v>2.9420700044369648</c:v>
                </c:pt>
                <c:pt idx="34">
                  <c:v>3.1196012291288842</c:v>
                </c:pt>
                <c:pt idx="35">
                  <c:v>3.2971259775318522</c:v>
                </c:pt>
                <c:pt idx="36">
                  <c:v>3.4739051721052205</c:v>
                </c:pt>
                <c:pt idx="37">
                  <c:v>3.6495628603034853</c:v>
                </c:pt>
                <c:pt idx="38">
                  <c:v>3.8232734831019006</c:v>
                </c:pt>
                <c:pt idx="39">
                  <c:v>3.9943210649750123</c:v>
                </c:pt>
                <c:pt idx="40">
                  <c:v>4.1620951572838294</c:v>
                </c:pt>
                <c:pt idx="41">
                  <c:v>4.3260626318893411</c:v>
                </c:pt>
                <c:pt idx="42">
                  <c:v>4.4856955634813831</c:v>
                </c:pt>
                <c:pt idx="43">
                  <c:v>4.6398359535478404</c:v>
                </c:pt>
                <c:pt idx="44">
                  <c:v>4.7884993971516039</c:v>
                </c:pt>
                <c:pt idx="45">
                  <c:v>4.9308926247818929</c:v>
                </c:pt>
                <c:pt idx="46">
                  <c:v>5.0663328928239624</c:v>
                </c:pt>
                <c:pt idx="47">
                  <c:v>5.1942461974341683</c:v>
                </c:pt>
                <c:pt idx="48">
                  <c:v>5.3142927885767977</c:v>
                </c:pt>
                <c:pt idx="49">
                  <c:v>5.4263004115323801</c:v>
                </c:pt>
                <c:pt idx="50">
                  <c:v>5.5293121925493782</c:v>
                </c:pt>
                <c:pt idx="51">
                  <c:v>5.6233582106278348</c:v>
                </c:pt>
                <c:pt idx="52">
                  <c:v>5.7078368407601623</c:v>
                </c:pt>
                <c:pt idx="53">
                  <c:v>5.7825851770619341</c:v>
                </c:pt>
                <c:pt idx="54">
                  <c:v>5.8472872175182795</c:v>
                </c:pt>
                <c:pt idx="55">
                  <c:v>5.9015438281747263</c:v>
                </c:pt>
                <c:pt idx="56">
                  <c:v>5.9450542913758522</c:v>
                </c:pt>
                <c:pt idx="57">
                  <c:v>5.977888615866866</c:v>
                </c:pt>
                <c:pt idx="58">
                  <c:v>5.999743920651528</c:v>
                </c:pt>
                <c:pt idx="59">
                  <c:v>6.010603700117704</c:v>
                </c:pt>
                <c:pt idx="60">
                  <c:v>6.0106387611523919</c:v>
                </c:pt>
                <c:pt idx="61">
                  <c:v>5.9997743429213335</c:v>
                </c:pt>
                <c:pt idx="62">
                  <c:v>5.9775958927038397</c:v>
                </c:pt>
                <c:pt idx="63">
                  <c:v>5.9447841870788478</c:v>
                </c:pt>
                <c:pt idx="64">
                  <c:v>5.9010956646781754</c:v>
                </c:pt>
                <c:pt idx="65">
                  <c:v>5.8468607832192054</c:v>
                </c:pt>
                <c:pt idx="66">
                  <c:v>5.7823360343552741</c:v>
                </c:pt>
                <c:pt idx="67">
                  <c:v>5.7076267300281316</c:v>
                </c:pt>
                <c:pt idx="68">
                  <c:v>5.6231556338219129</c:v>
                </c:pt>
                <c:pt idx="69">
                  <c:v>5.529036652653236</c:v>
                </c:pt>
                <c:pt idx="70">
                  <c:v>5.4259418279448317</c:v>
                </c:pt>
                <c:pt idx="71">
                  <c:v>5.3141065310643443</c:v>
                </c:pt>
                <c:pt idx="72">
                  <c:v>5.1939317175421555</c:v>
                </c:pt>
                <c:pt idx="73">
                  <c:v>5.066007970893514</c:v>
                </c:pt>
                <c:pt idx="74">
                  <c:v>4.9307966192370287</c:v>
                </c:pt>
                <c:pt idx="75">
                  <c:v>4.788707410694899</c:v>
                </c:pt>
                <c:pt idx="76">
                  <c:v>4.6404170499934905</c:v>
                </c:pt>
                <c:pt idx="77">
                  <c:v>4.4865274519558973</c:v>
                </c:pt>
                <c:pt idx="78">
                  <c:v>4.3275857178227506</c:v>
                </c:pt>
                <c:pt idx="79">
                  <c:v>4.1643796069544781</c:v>
                </c:pt>
                <c:pt idx="80">
                  <c:v>3.9974767850720707</c:v>
                </c:pt>
                <c:pt idx="81">
                  <c:v>3.8273398687685525</c:v>
                </c:pt>
                <c:pt idx="82">
                  <c:v>3.6547326976396026</c:v>
                </c:pt>
                <c:pt idx="83">
                  <c:v>3.4804639730851048</c:v>
                </c:pt>
                <c:pt idx="84">
                  <c:v>3.3051447752746332</c:v>
                </c:pt>
                <c:pt idx="85">
                  <c:v>3.1294133033867677</c:v>
                </c:pt>
                <c:pt idx="86">
                  <c:v>2.9541486857958792</c:v>
                </c:pt>
                <c:pt idx="87">
                  <c:v>2.7795576902940775</c:v>
                </c:pt>
                <c:pt idx="88">
                  <c:v>2.6068960704239657</c:v>
                </c:pt>
                <c:pt idx="89">
                  <c:v>2.4365648594682727</c:v>
                </c:pt>
                <c:pt idx="90">
                  <c:v>2.2695580978018586</c:v>
                </c:pt>
                <c:pt idx="91">
                  <c:v>2.1058431428802442</c:v>
                </c:pt>
                <c:pt idx="92">
                  <c:v>1.9466953536899194</c:v>
                </c:pt>
                <c:pt idx="93">
                  <c:v>1.7925511350739483</c:v>
                </c:pt>
                <c:pt idx="94">
                  <c:v>1.6440774853284876</c:v>
                </c:pt>
                <c:pt idx="95">
                  <c:v>1.5016662430658376</c:v>
                </c:pt>
                <c:pt idx="96">
                  <c:v>1.3661259160946644</c:v>
                </c:pt>
                <c:pt idx="97">
                  <c:v>1.2375553143602822</c:v>
                </c:pt>
                <c:pt idx="98">
                  <c:v>1.1169958045400112</c:v>
                </c:pt>
                <c:pt idx="99">
                  <c:v>1.004703163023742</c:v>
                </c:pt>
                <c:pt idx="100">
                  <c:v>0.90091966573991367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C-4B5C-BAD9-802D17522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正弦力!$J$12:$J$112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1.2558103905862695E-2</c:v>
                </c:pt>
                <c:pt idx="3">
                  <c:v>3.6368940228137275E-2</c:v>
                </c:pt>
                <c:pt idx="4">
                  <c:v>7.0208309122468518E-2</c:v>
                </c:pt>
                <c:pt idx="5">
                  <c:v>0.11292545564319267</c:v>
                </c:pt>
                <c:pt idx="6">
                  <c:v>0.16343630895386291</c:v>
                </c:pt>
                <c:pt idx="7">
                  <c:v>0.2207175885954123</c:v>
                </c:pt>
                <c:pt idx="8">
                  <c:v>0.28380168804888567</c:v>
                </c:pt>
                <c:pt idx="9">
                  <c:v>0.35177225406434015</c:v>
                </c:pt>
                <c:pt idx="10">
                  <c:v>0.42376038765370544</c:v>
                </c:pt>
                <c:pt idx="11">
                  <c:v>0.49894139934682957</c:v>
                </c:pt>
                <c:pt idx="12">
                  <c:v>0.57653205736188462</c:v>
                </c:pt>
                <c:pt idx="13">
                  <c:v>0.65578827281143381</c:v>
                </c:pt>
                <c:pt idx="14">
                  <c:v>0.7360031710145728</c:v>
                </c:pt>
                <c:pt idx="15">
                  <c:v>0.81650550246827325</c:v>
                </c:pt>
                <c:pt idx="16">
                  <c:v>0.89665835109643544</c:v>
                </c:pt>
                <c:pt idx="17">
                  <c:v>0.97585810108719495</c:v>
                </c:pt>
                <c:pt idx="18">
                  <c:v>1.0535336269872482</c:v>
                </c:pt>
                <c:pt idx="19">
                  <c:v>1.1291456747817274</c:v>
                </c:pt>
                <c:pt idx="20">
                  <c:v>1.202186404481205</c:v>
                </c:pt>
                <c:pt idx="21">
                  <c:v>1.2721790672921152</c:v>
                </c:pt>
                <c:pt idx="22">
                  <c:v>1.33867779278863</c:v>
                </c:pt>
                <c:pt idx="23">
                  <c:v>1.4012674636555049</c:v>
                </c:pt>
                <c:pt idx="24">
                  <c:v>1.4595636575528501</c:v>
                </c:pt>
                <c:pt idx="25">
                  <c:v>1.5132126374832195</c:v>
                </c:pt>
                <c:pt idx="26">
                  <c:v>1.5618913737348976</c:v>
                </c:pt>
                <c:pt idx="27">
                  <c:v>1.6053075820470621</c:v>
                </c:pt>
                <c:pt idx="28">
                  <c:v>1.6431997641052516</c:v>
                </c:pt>
                <c:pt idx="29">
                  <c:v>1.6753372378404641</c:v>
                </c:pt>
                <c:pt idx="30">
                  <c:v>1.7015201462821439</c:v>
                </c:pt>
                <c:pt idx="31">
                  <c:v>1.7215794349129603</c:v>
                </c:pt>
                <c:pt idx="32">
                  <c:v>1.7353767885993143</c:v>
                </c:pt>
                <c:pt idx="33">
                  <c:v>1.7428045202325868</c:v>
                </c:pt>
                <c:pt idx="34">
                  <c:v>1.7437854042181009</c:v>
                </c:pt>
                <c:pt idx="35">
                  <c:v>1.7382724488966939</c:v>
                </c:pt>
                <c:pt idx="36">
                  <c:v>1.7262486028820141</c:v>
                </c:pt>
                <c:pt idx="37">
                  <c:v>1.7077263911489704</c:v>
                </c:pt>
                <c:pt idx="38">
                  <c:v>1.6827474775183557</c:v>
                </c:pt>
                <c:pt idx="39">
                  <c:v>1.6513821509522579</c:v>
                </c:pt>
                <c:pt idx="40">
                  <c:v>1.6137287338067698</c:v>
                </c:pt>
                <c:pt idx="41">
                  <c:v>1.5699129108845875</c:v>
                </c:pt>
                <c:pt idx="42">
                  <c:v>1.520086978791928</c:v>
                </c:pt>
                <c:pt idx="43">
                  <c:v>1.4644290157330782</c:v>
                </c:pt>
                <c:pt idx="44">
                  <c:v>1.4031419724727849</c:v>
                </c:pt>
                <c:pt idx="45">
                  <c:v>1.3364526857624419</c:v>
                </c:pt>
                <c:pt idx="46">
                  <c:v>1.2646108160611873</c:v>
                </c:pt>
                <c:pt idx="47">
                  <c:v>1.1878877118880395</c:v>
                </c:pt>
                <c:pt idx="48">
                  <c:v>1.1065752036163807</c:v>
                </c:pt>
                <c:pt idx="49">
                  <c:v>1.0209843299676036</c:v>
                </c:pt>
                <c:pt idx="50">
                  <c:v>0.93144400087670587</c:v>
                </c:pt>
                <c:pt idx="51">
                  <c:v>0.83829960078903532</c:v>
                </c:pt>
                <c:pt idx="52">
                  <c:v>0.74191153680426913</c:v>
                </c:pt>
                <c:pt idx="53">
                  <c:v>0.64265373641098134</c:v>
                </c:pt>
                <c:pt idx="54">
                  <c:v>0.54091209985273825</c:v>
                </c:pt>
                <c:pt idx="55">
                  <c:v>0.4370829124344936</c:v>
                </c:pt>
                <c:pt idx="56">
                  <c:v>0.33157122231605496</c:v>
                </c:pt>
                <c:pt idx="57">
                  <c:v>0.22478918954751378</c:v>
                </c:pt>
                <c:pt idx="58">
                  <c:v>0.11715441227974782</c:v>
                </c:pt>
                <c:pt idx="59">
                  <c:v>9.0882362314298054E-3</c:v>
                </c:pt>
                <c:pt idx="60">
                  <c:v>-9.89859463875125E-2</c:v>
                </c:pt>
                <c:pt idx="61">
                  <c:v>-0.20664440220725594</c:v>
                </c:pt>
                <c:pt idx="62">
                  <c:v>-0.31346475993626843</c:v>
                </c:pt>
                <c:pt idx="63">
                  <c:v>-0.41902770512837928</c:v>
                </c:pt>
                <c:pt idx="64">
                  <c:v>-0.52291866009982368</c:v>
                </c:pt>
                <c:pt idx="65">
                  <c:v>-0.62472944264499919</c:v>
                </c:pt>
                <c:pt idx="66">
                  <c:v>-0.7240598972554888</c:v>
                </c:pt>
                <c:pt idx="67">
                  <c:v>-0.82051949263034274</c:v>
                </c:pt>
                <c:pt idx="68">
                  <c:v>-0.91372887937608116</c:v>
                </c:pt>
                <c:pt idx="69">
                  <c:v>-1.003321401931677</c:v>
                </c:pt>
                <c:pt idx="70">
                  <c:v>-1.0889445589161597</c:v>
                </c:pt>
                <c:pt idx="71">
                  <c:v>-1.1702614062835746</c:v>
                </c:pt>
                <c:pt idx="72">
                  <c:v>-1.2469518978809433</c:v>
                </c:pt>
                <c:pt idx="73">
                  <c:v>-1.3187141582385866</c:v>
                </c:pt>
                <c:pt idx="74">
                  <c:v>-1.3852656826776237</c:v>
                </c:pt>
                <c:pt idx="75">
                  <c:v>-1.4463444600955158</c:v>
                </c:pt>
                <c:pt idx="76">
                  <c:v>-1.5017100140859643</c:v>
                </c:pt>
                <c:pt idx="77">
                  <c:v>-1.5511443583630222</c:v>
                </c:pt>
                <c:pt idx="78">
                  <c:v>-1.5944528627896157</c:v>
                </c:pt>
                <c:pt idx="79">
                  <c:v>-1.6314650266563921</c:v>
                </c:pt>
                <c:pt idx="80">
                  <c:v>-1.6620351562164792</c:v>
                </c:pt>
                <c:pt idx="81">
                  <c:v>-1.686042943853862</c:v>
                </c:pt>
                <c:pt idx="82">
                  <c:v>-1.7033939466461261</c:v>
                </c:pt>
                <c:pt idx="83">
                  <c:v>-1.7140199624747174</c:v>
                </c:pt>
                <c:pt idx="84">
                  <c:v>-1.7178793022360184</c:v>
                </c:pt>
                <c:pt idx="85">
                  <c:v>-1.7149569571128196</c:v>
                </c:pt>
                <c:pt idx="86">
                  <c:v>-1.7052646602765273</c:v>
                </c:pt>
                <c:pt idx="87">
                  <c:v>-1.6888408428040327</c:v>
                </c:pt>
                <c:pt idx="88">
                  <c:v>-1.6657504840079118</c:v>
                </c:pt>
                <c:pt idx="89">
                  <c:v>-1.6360848567928583</c:v>
                </c:pt>
                <c:pt idx="90">
                  <c:v>-1.5999611690633102</c:v>
                </c:pt>
                <c:pt idx="91">
                  <c:v>-1.5575221026154737</c:v>
                </c:pt>
                <c:pt idx="92">
                  <c:v>-1.5089352513497258</c:v>
                </c:pt>
                <c:pt idx="93">
                  <c:v>-1.4543924610350962</c:v>
                </c:pt>
                <c:pt idx="94">
                  <c:v>-1.3941090732446009</c:v>
                </c:pt>
                <c:pt idx="95">
                  <c:v>-1.3283230764570764</c:v>
                </c:pt>
                <c:pt idx="96">
                  <c:v>-1.2572941676863583</c:v>
                </c:pt>
                <c:pt idx="97">
                  <c:v>-1.1813027283506934</c:v>
                </c:pt>
                <c:pt idx="98">
                  <c:v>-1.1006487184327691</c:v>
                </c:pt>
                <c:pt idx="99">
                  <c:v>-1.0156504933023529</c:v>
                </c:pt>
                <c:pt idx="100">
                  <c:v>-0.92664354787798031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8-4647-9E0E-0FC0CAEE7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正弦力!$K$12:$K$112</c:f>
              <c:numCache>
                <c:formatCode>0.000_ </c:formatCode>
                <c:ptCount val="101"/>
                <c:pt idx="0">
                  <c:v>1.5496439470832298E-3</c:v>
                </c:pt>
                <c:pt idx="1">
                  <c:v>1.6822456825584735E-3</c:v>
                </c:pt>
                <c:pt idx="2">
                  <c:v>1.0983035241876513E-3</c:v>
                </c:pt>
                <c:pt idx="3">
                  <c:v>2.9198045731847334E-3</c:v>
                </c:pt>
                <c:pt idx="4">
                  <c:v>8.8393674475582308E-3</c:v>
                </c:pt>
                <c:pt idx="5">
                  <c:v>1.6283578529151931E-2</c:v>
                </c:pt>
                <c:pt idx="6">
                  <c:v>2.9302171228658816E-2</c:v>
                </c:pt>
                <c:pt idx="7">
                  <c:v>4.6079474889654401E-2</c:v>
                </c:pt>
                <c:pt idx="8">
                  <c:v>7.1661635881545505E-2</c:v>
                </c:pt>
                <c:pt idx="9">
                  <c:v>0.10194939471542144</c:v>
                </c:pt>
                <c:pt idx="10">
                  <c:v>0.13959357019018601</c:v>
                </c:pt>
                <c:pt idx="11">
                  <c:v>0.18251750567642797</c:v>
                </c:pt>
                <c:pt idx="12">
                  <c:v>0.2359533439105615</c:v>
                </c:pt>
                <c:pt idx="13">
                  <c:v>0.29771408107425079</c:v>
                </c:pt>
                <c:pt idx="14">
                  <c:v>0.36608029827652072</c:v>
                </c:pt>
                <c:pt idx="15">
                  <c:v>0.44459341568642619</c:v>
                </c:pt>
                <c:pt idx="16">
                  <c:v>0.52671609183008394</c:v>
                </c:pt>
                <c:pt idx="17">
                  <c:v>0.61956601805537181</c:v>
                </c:pt>
                <c:pt idx="18">
                  <c:v>0.72201593866198599</c:v>
                </c:pt>
                <c:pt idx="19">
                  <c:v>0.83017006643488889</c:v>
                </c:pt>
                <c:pt idx="20">
                  <c:v>0.94432722700020666</c:v>
                </c:pt>
                <c:pt idx="21">
                  <c:v>1.0697132153408184</c:v>
                </c:pt>
                <c:pt idx="22">
                  <c:v>1.1994490526306827</c:v>
                </c:pt>
                <c:pt idx="23">
                  <c:v>1.3383721651606606</c:v>
                </c:pt>
                <c:pt idx="24">
                  <c:v>1.4813243417495428</c:v>
                </c:pt>
                <c:pt idx="25">
                  <c:v>1.6325253803105522</c:v>
                </c:pt>
                <c:pt idx="26">
                  <c:v>1.784010269899579</c:v>
                </c:pt>
                <c:pt idx="27">
                  <c:v>1.9451664150396526</c:v>
                </c:pt>
                <c:pt idx="28">
                  <c:v>2.1084863783899634</c:v>
                </c:pt>
                <c:pt idx="29">
                  <c:v>2.2756416885088799</c:v>
                </c:pt>
                <c:pt idx="30">
                  <c:v>2.4481800720854276</c:v>
                </c:pt>
                <c:pt idx="31">
                  <c:v>2.6212936094729491</c:v>
                </c:pt>
                <c:pt idx="32">
                  <c:v>2.796316198229476</c:v>
                </c:pt>
                <c:pt idx="33">
                  <c:v>2.9745777311235702</c:v>
                </c:pt>
                <c:pt idx="34">
                  <c:v>3.1510633089404654</c:v>
                </c:pt>
                <c:pt idx="35">
                  <c:v>3.3266454743688403</c:v>
                </c:pt>
                <c:pt idx="36">
                  <c:v>3.5042334512058559</c:v>
                </c:pt>
                <c:pt idx="37">
                  <c:v>3.6789426971386683</c:v>
                </c:pt>
                <c:pt idx="38">
                  <c:v>3.8510018243146593</c:v>
                </c:pt>
                <c:pt idx="39">
                  <c:v>4.0206798371109267</c:v>
                </c:pt>
                <c:pt idx="40">
                  <c:v>4.1880411695321733</c:v>
                </c:pt>
                <c:pt idx="41">
                  <c:v>4.3524790369251756</c:v>
                </c:pt>
                <c:pt idx="42">
                  <c:v>4.5070124853540312</c:v>
                </c:pt>
                <c:pt idx="43">
                  <c:v>4.6620413738523947</c:v>
                </c:pt>
                <c:pt idx="44">
                  <c:v>4.8092897009817124</c:v>
                </c:pt>
                <c:pt idx="45">
                  <c:v>4.9488426194401489</c:v>
                </c:pt>
                <c:pt idx="46">
                  <c:v>5.0808551228648327</c:v>
                </c:pt>
                <c:pt idx="47">
                  <c:v>5.2068243969724239</c:v>
                </c:pt>
                <c:pt idx="48">
                  <c:v>5.3277938145162445</c:v>
                </c:pt>
                <c:pt idx="49">
                  <c:v>5.4354338917347569</c:v>
                </c:pt>
                <c:pt idx="50">
                  <c:v>5.5383283724572419</c:v>
                </c:pt>
                <c:pt idx="51">
                  <c:v>5.6298449111620759</c:v>
                </c:pt>
                <c:pt idx="52">
                  <c:v>5.7134086669736135</c:v>
                </c:pt>
                <c:pt idx="53">
                  <c:v>5.7869518452144053</c:v>
                </c:pt>
                <c:pt idx="54">
                  <c:v>5.8489412242300132</c:v>
                </c:pt>
                <c:pt idx="55">
                  <c:v>5.8995655477514939</c:v>
                </c:pt>
                <c:pt idx="56">
                  <c:v>5.9418263139699352</c:v>
                </c:pt>
                <c:pt idx="57">
                  <c:v>5.971652474165972</c:v>
                </c:pt>
                <c:pt idx="58">
                  <c:v>5.9911873030335361</c:v>
                </c:pt>
                <c:pt idx="59">
                  <c:v>6.0018660742331535</c:v>
                </c:pt>
                <c:pt idx="60">
                  <c:v>6.0009805252293207</c:v>
                </c:pt>
                <c:pt idx="61">
                  <c:v>5.9846342429536499</c:v>
                </c:pt>
                <c:pt idx="62">
                  <c:v>5.9629435963901916</c:v>
                </c:pt>
                <c:pt idx="63">
                  <c:v>5.9269266682005055</c:v>
                </c:pt>
                <c:pt idx="64">
                  <c:v>5.8816655101883013</c:v>
                </c:pt>
                <c:pt idx="65">
                  <c:v>5.826342737224893</c:v>
                </c:pt>
                <c:pt idx="66">
                  <c:v>5.7593028883393362</c:v>
                </c:pt>
                <c:pt idx="67">
                  <c:v>5.6834352605962897</c:v>
                </c:pt>
                <c:pt idx="68">
                  <c:v>5.5956947015112224</c:v>
                </c:pt>
                <c:pt idx="69">
                  <c:v>5.5014098075008731</c:v>
                </c:pt>
                <c:pt idx="70">
                  <c:v>5.3965334180561202</c:v>
                </c:pt>
                <c:pt idx="71">
                  <c:v>5.2826198021260318</c:v>
                </c:pt>
                <c:pt idx="72">
                  <c:v>5.1616461489366845</c:v>
                </c:pt>
                <c:pt idx="73">
                  <c:v>5.0326086125672509</c:v>
                </c:pt>
                <c:pt idx="74">
                  <c:v>4.8951702164933559</c:v>
                </c:pt>
                <c:pt idx="75">
                  <c:v>4.7521482637763333</c:v>
                </c:pt>
                <c:pt idx="76">
                  <c:v>4.6032310837035224</c:v>
                </c:pt>
                <c:pt idx="77">
                  <c:v>4.4482544689874564</c:v>
                </c:pt>
                <c:pt idx="78">
                  <c:v>4.2899774719296451</c:v>
                </c:pt>
                <c:pt idx="79">
                  <c:v>4.1268164147867985</c:v>
                </c:pt>
                <c:pt idx="80">
                  <c:v>3.9581427782533671</c:v>
                </c:pt>
                <c:pt idx="81">
                  <c:v>3.7873111013329144</c:v>
                </c:pt>
                <c:pt idx="82">
                  <c:v>3.6154393987407492</c:v>
                </c:pt>
                <c:pt idx="83">
                  <c:v>3.4412919574551051</c:v>
                </c:pt>
                <c:pt idx="84">
                  <c:v>3.2657093586319972</c:v>
                </c:pt>
                <c:pt idx="85">
                  <c:v>3.0917240845907035</c:v>
                </c:pt>
                <c:pt idx="86">
                  <c:v>2.9135033910543897</c:v>
                </c:pt>
                <c:pt idx="87">
                  <c:v>2.7417823343969916</c:v>
                </c:pt>
                <c:pt idx="88">
                  <c:v>2.5693344448749484</c:v>
                </c:pt>
                <c:pt idx="89">
                  <c:v>2.40258209959699</c:v>
                </c:pt>
                <c:pt idx="90">
                  <c:v>2.2323697176490267</c:v>
                </c:pt>
                <c:pt idx="91">
                  <c:v>2.0718873535924698</c:v>
                </c:pt>
                <c:pt idx="92">
                  <c:v>1.9141884188799345</c:v>
                </c:pt>
                <c:pt idx="93">
                  <c:v>1.7622070986544387</c:v>
                </c:pt>
                <c:pt idx="94">
                  <c:v>1.6140741359465893</c:v>
                </c:pt>
                <c:pt idx="95">
                  <c:v>1.4745860498111816</c:v>
                </c:pt>
                <c:pt idx="96">
                  <c:v>1.3377140664372007</c:v>
                </c:pt>
                <c:pt idx="97">
                  <c:v>1.213262944508265</c:v>
                </c:pt>
                <c:pt idx="98">
                  <c:v>1.0947181078100872</c:v>
                </c:pt>
                <c:pt idx="99">
                  <c:v>0.98251868348781191</c:v>
                </c:pt>
                <c:pt idx="100">
                  <c:v>0.88319446074490249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9-474C-8BFE-4AEA3CF9D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正弦力!$L$12:$L$112</c:f>
              <c:numCache>
                <c:formatCode>0.000_ </c:formatCode>
                <c:ptCount val="101"/>
                <c:pt idx="0">
                  <c:v>0</c:v>
                </c:pt>
                <c:pt idx="1">
                  <c:v>1.3260173547524365E-4</c:v>
                </c:pt>
                <c:pt idx="2">
                  <c:v>1.2093503309419593E-2</c:v>
                </c:pt>
                <c:pt idx="3">
                  <c:v>3.6516490349749298E-2</c:v>
                </c:pt>
                <c:pt idx="4">
                  <c:v>7.2623773083479101E-2</c:v>
                </c:pt>
                <c:pt idx="5">
                  <c:v>0.11552275337744905</c:v>
                </c:pt>
                <c:pt idx="6">
                  <c:v>0.16749992404988126</c:v>
                </c:pt>
                <c:pt idx="7">
                  <c:v>0.22480851494743812</c:v>
                </c:pt>
                <c:pt idx="8">
                  <c:v>0.29099392389805878</c:v>
                </c:pt>
                <c:pt idx="9">
                  <c:v>0.36015285635758332</c:v>
                </c:pt>
                <c:pt idx="10">
                  <c:v>0.43376987978595483</c:v>
                </c:pt>
                <c:pt idx="11">
                  <c:v>0.5084978389867254</c:v>
                </c:pt>
                <c:pt idx="12">
                  <c:v>0.58867455133724145</c:v>
                </c:pt>
                <c:pt idx="13">
                  <c:v>0.67082404881675584</c:v>
                </c:pt>
                <c:pt idx="14">
                  <c:v>0.75232275934048909</c:v>
                </c:pt>
                <c:pt idx="15">
                  <c:v>0.83610593227004615</c:v>
                </c:pt>
                <c:pt idx="16">
                  <c:v>0.9147708638148615</c:v>
                </c:pt>
                <c:pt idx="17">
                  <c:v>0.99534345364942267</c:v>
                </c:pt>
                <c:pt idx="18">
                  <c:v>1.0759345547911479</c:v>
                </c:pt>
                <c:pt idx="19">
                  <c:v>1.1521072748794152</c:v>
                </c:pt>
                <c:pt idx="20">
                  <c:v>1.2240944376562688</c:v>
                </c:pt>
                <c:pt idx="21">
                  <c:v>1.297063645042164</c:v>
                </c:pt>
                <c:pt idx="22">
                  <c:v>1.3635918433243266</c:v>
                </c:pt>
                <c:pt idx="23">
                  <c:v>1.4287454423887469</c:v>
                </c:pt>
                <c:pt idx="24">
                  <c:v>1.4871192686360994</c:v>
                </c:pt>
                <c:pt idx="25">
                  <c:v>1.5432573602638684</c:v>
                </c:pt>
                <c:pt idx="26">
                  <c:v>1.5890952500781865</c:v>
                </c:pt>
                <c:pt idx="27">
                  <c:v>1.6347580785226059</c:v>
                </c:pt>
                <c:pt idx="28">
                  <c:v>1.6724944160788453</c:v>
                </c:pt>
                <c:pt idx="29">
                  <c:v>1.70453775832509</c:v>
                </c:pt>
                <c:pt idx="30">
                  <c:v>1.7328052745108085</c:v>
                </c:pt>
                <c:pt idx="31">
                  <c:v>1.7526975730780656</c:v>
                </c:pt>
                <c:pt idx="32">
                  <c:v>1.7662477582131397</c:v>
                </c:pt>
                <c:pt idx="33">
                  <c:v>1.7753122469191922</c:v>
                </c:pt>
                <c:pt idx="34">
                  <c:v>1.7752474840296821</c:v>
                </c:pt>
                <c:pt idx="35">
                  <c:v>1.7677919457336819</c:v>
                </c:pt>
                <c:pt idx="36">
                  <c:v>1.7565768819826493</c:v>
                </c:pt>
                <c:pt idx="37">
                  <c:v>1.7371062279841534</c:v>
                </c:pt>
                <c:pt idx="38">
                  <c:v>1.7104758187311142</c:v>
                </c:pt>
                <c:pt idx="39">
                  <c:v>1.6777409230881724</c:v>
                </c:pt>
                <c:pt idx="40">
                  <c:v>1.6396747460551135</c:v>
                </c:pt>
                <c:pt idx="41">
                  <c:v>1.5963293159204217</c:v>
                </c:pt>
                <c:pt idx="42">
                  <c:v>1.5414039006645759</c:v>
                </c:pt>
                <c:pt idx="43">
                  <c:v>1.4866344360376325</c:v>
                </c:pt>
                <c:pt idx="44">
                  <c:v>1.4239322763028934</c:v>
                </c:pt>
                <c:pt idx="45">
                  <c:v>1.3544026804206983</c:v>
                </c:pt>
                <c:pt idx="46">
                  <c:v>1.2791330461020578</c:v>
                </c:pt>
                <c:pt idx="47">
                  <c:v>1.200465911426295</c:v>
                </c:pt>
                <c:pt idx="48">
                  <c:v>1.1200762295558278</c:v>
                </c:pt>
                <c:pt idx="49">
                  <c:v>1.0301178101699799</c:v>
                </c:pt>
                <c:pt idx="50">
                  <c:v>0.94046018078456928</c:v>
                </c:pt>
                <c:pt idx="51">
                  <c:v>0.8447863013232767</c:v>
                </c:pt>
                <c:pt idx="52">
                  <c:v>0.74748336301772067</c:v>
                </c:pt>
                <c:pt idx="53">
                  <c:v>0.64702040456345256</c:v>
                </c:pt>
                <c:pt idx="54">
                  <c:v>0.54256610656447213</c:v>
                </c:pt>
                <c:pt idx="55">
                  <c:v>0.43510463201126087</c:v>
                </c:pt>
                <c:pt idx="56">
                  <c:v>0.32834324491013811</c:v>
                </c:pt>
                <c:pt idx="57">
                  <c:v>0.21855304784662011</c:v>
                </c:pt>
                <c:pt idx="58">
                  <c:v>0.10859779466175613</c:v>
                </c:pt>
                <c:pt idx="59">
                  <c:v>3.5061034687957834E-4</c:v>
                </c:pt>
                <c:pt idx="60">
                  <c:v>-0.10864418231058348</c:v>
                </c:pt>
                <c:pt idx="61">
                  <c:v>-0.22178450217493956</c:v>
                </c:pt>
                <c:pt idx="62">
                  <c:v>-0.32811705624991672</c:v>
                </c:pt>
                <c:pt idx="63">
                  <c:v>-0.43688522400672175</c:v>
                </c:pt>
                <c:pt idx="64">
                  <c:v>-0.54234881458969797</c:v>
                </c:pt>
                <c:pt idx="65">
                  <c:v>-0.64524748863931136</c:v>
                </c:pt>
                <c:pt idx="66">
                  <c:v>-0.74709304327142667</c:v>
                </c:pt>
                <c:pt idx="67">
                  <c:v>-0.84471096206218466</c:v>
                </c:pt>
                <c:pt idx="68">
                  <c:v>-0.94118981168677185</c:v>
                </c:pt>
                <c:pt idx="69">
                  <c:v>-1.0309482470840403</c:v>
                </c:pt>
                <c:pt idx="70">
                  <c:v>-1.1183529688048712</c:v>
                </c:pt>
                <c:pt idx="71">
                  <c:v>-1.2017481352218866</c:v>
                </c:pt>
                <c:pt idx="72">
                  <c:v>-1.2792374664864141</c:v>
                </c:pt>
                <c:pt idx="73">
                  <c:v>-1.3521135165648497</c:v>
                </c:pt>
                <c:pt idx="74">
                  <c:v>-1.4208920854212965</c:v>
                </c:pt>
                <c:pt idx="75">
                  <c:v>-1.4829036070140817</c:v>
                </c:pt>
                <c:pt idx="76">
                  <c:v>-1.5388959803759321</c:v>
                </c:pt>
                <c:pt idx="77">
                  <c:v>-1.589417341331463</c:v>
                </c:pt>
                <c:pt idx="78">
                  <c:v>-1.632061108682721</c:v>
                </c:pt>
                <c:pt idx="79">
                  <c:v>-1.6690282188240719</c:v>
                </c:pt>
                <c:pt idx="80">
                  <c:v>-1.7013691630351826</c:v>
                </c:pt>
                <c:pt idx="81">
                  <c:v>-1.7260717112895001</c:v>
                </c:pt>
                <c:pt idx="82">
                  <c:v>-1.7426872455449798</c:v>
                </c:pt>
                <c:pt idx="83">
                  <c:v>-1.7531919781047172</c:v>
                </c:pt>
                <c:pt idx="84">
                  <c:v>-1.7573147188786544</c:v>
                </c:pt>
                <c:pt idx="85">
                  <c:v>-1.7526461759088838</c:v>
                </c:pt>
                <c:pt idx="86">
                  <c:v>-1.7459099550180168</c:v>
                </c:pt>
                <c:pt idx="87">
                  <c:v>-1.7266161987011186</c:v>
                </c:pt>
                <c:pt idx="88">
                  <c:v>-1.7033121095569292</c:v>
                </c:pt>
                <c:pt idx="89">
                  <c:v>-1.6700676166641411</c:v>
                </c:pt>
                <c:pt idx="90">
                  <c:v>-1.6371495492161419</c:v>
                </c:pt>
                <c:pt idx="91">
                  <c:v>-1.5914778919032482</c:v>
                </c:pt>
                <c:pt idx="92">
                  <c:v>-1.5414421861597107</c:v>
                </c:pt>
                <c:pt idx="93">
                  <c:v>-1.4847364974546058</c:v>
                </c:pt>
                <c:pt idx="94">
                  <c:v>-1.4241124226264992</c:v>
                </c:pt>
                <c:pt idx="95">
                  <c:v>-1.3554032697117324</c:v>
                </c:pt>
                <c:pt idx="96">
                  <c:v>-1.2857060173438219</c:v>
                </c:pt>
                <c:pt idx="97">
                  <c:v>-1.2055950982027106</c:v>
                </c:pt>
                <c:pt idx="98">
                  <c:v>-1.1229264151626932</c:v>
                </c:pt>
                <c:pt idx="99">
                  <c:v>-1.037834972838283</c:v>
                </c:pt>
                <c:pt idx="100">
                  <c:v>-0.94436875287299149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4-4397-913D-A3857089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方波力!$C$12:$C$112</c:f>
              <c:numCache>
                <c:formatCode>0.000_ </c:formatCode>
                <c:ptCount val="1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4-4678-9D5F-AD93EFD76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</a:t>
            </a:r>
            <a:r>
              <a:rPr lang="zh-CN" altLang="en-US"/>
              <a:t>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方波力!$D$12:$D$112</c:f>
              <c:numCache>
                <c:formatCode>0.000_ </c:formatCode>
                <c:ptCount val="101"/>
                <c:pt idx="0">
                  <c:v>9.8260121447534097</c:v>
                </c:pt>
                <c:pt idx="1">
                  <c:v>10.049265260642745</c:v>
                </c:pt>
                <c:pt idx="2">
                  <c:v>9.7434064100564015</c:v>
                </c:pt>
                <c:pt idx="3">
                  <c:v>10.012417042420179</c:v>
                </c:pt>
                <c:pt idx="4">
                  <c:v>10.11600763951907</c:v>
                </c:pt>
                <c:pt idx="5">
                  <c:v>9.9922348854264325</c:v>
                </c:pt>
                <c:pt idx="6">
                  <c:v>10.089640142339118</c:v>
                </c:pt>
                <c:pt idx="7">
                  <c:v>9.9849801162071437</c:v>
                </c:pt>
                <c:pt idx="8">
                  <c:v>9.9195668529709842</c:v>
                </c:pt>
                <c:pt idx="9">
                  <c:v>9.8728911180011352</c:v>
                </c:pt>
                <c:pt idx="10">
                  <c:v>9.9466598202357037</c:v>
                </c:pt>
                <c:pt idx="11">
                  <c:v>9.8894649228534544</c:v>
                </c:pt>
                <c:pt idx="12">
                  <c:v>10.079319516591099</c:v>
                </c:pt>
                <c:pt idx="13">
                  <c:v>10.08228852434191</c:v>
                </c:pt>
                <c:pt idx="14">
                  <c:v>10.011565095343697</c:v>
                </c:pt>
                <c:pt idx="15">
                  <c:v>10.110696557756196</c:v>
                </c:pt>
                <c:pt idx="16">
                  <c:v>9.9790216285318998</c:v>
                </c:pt>
                <c:pt idx="17">
                  <c:v>10.025023907974228</c:v>
                </c:pt>
                <c:pt idx="18">
                  <c:v>9.8790024330034978</c:v>
                </c:pt>
                <c:pt idx="19">
                  <c:v>9.991348960524741</c:v>
                </c:pt>
                <c:pt idx="20">
                  <c:v>9.9751658512936885</c:v>
                </c:pt>
                <c:pt idx="21">
                  <c:v>10.067937578760771</c:v>
                </c:pt>
                <c:pt idx="22">
                  <c:v>9.7964457971563181</c:v>
                </c:pt>
                <c:pt idx="23">
                  <c:v>9.998419610322749</c:v>
                </c:pt>
                <c:pt idx="24">
                  <c:v>10.118244397637428</c:v>
                </c:pt>
                <c:pt idx="25">
                  <c:v>12.028365854460787</c:v>
                </c:pt>
                <c:pt idx="26">
                  <c:v>11.876936923677926</c:v>
                </c:pt>
                <c:pt idx="27">
                  <c:v>12.046376042432991</c:v>
                </c:pt>
                <c:pt idx="28">
                  <c:v>12.016916883216416</c:v>
                </c:pt>
                <c:pt idx="29">
                  <c:v>12.146009254630643</c:v>
                </c:pt>
                <c:pt idx="30">
                  <c:v>11.956674242000187</c:v>
                </c:pt>
                <c:pt idx="31">
                  <c:v>11.956428889487267</c:v>
                </c:pt>
                <c:pt idx="32">
                  <c:v>11.901432004063963</c:v>
                </c:pt>
                <c:pt idx="33">
                  <c:v>11.782763664969716</c:v>
                </c:pt>
                <c:pt idx="34">
                  <c:v>11.991374914396371</c:v>
                </c:pt>
                <c:pt idx="35">
                  <c:v>11.986720528888586</c:v>
                </c:pt>
                <c:pt idx="36">
                  <c:v>12.002490375364159</c:v>
                </c:pt>
                <c:pt idx="37">
                  <c:v>11.9139063477586</c:v>
                </c:pt>
                <c:pt idx="38">
                  <c:v>11.99537518554822</c:v>
                </c:pt>
                <c:pt idx="39">
                  <c:v>11.99289021355545</c:v>
                </c:pt>
                <c:pt idx="40">
                  <c:v>12.066975011802612</c:v>
                </c:pt>
                <c:pt idx="41">
                  <c:v>12.075821250058164</c:v>
                </c:pt>
                <c:pt idx="42">
                  <c:v>12.094752102444208</c:v>
                </c:pt>
                <c:pt idx="43">
                  <c:v>12.019918642891062</c:v>
                </c:pt>
                <c:pt idx="44">
                  <c:v>12.047111796707037</c:v>
                </c:pt>
                <c:pt idx="45">
                  <c:v>12.058537833966568</c:v>
                </c:pt>
                <c:pt idx="46">
                  <c:v>11.966141759411416</c:v>
                </c:pt>
                <c:pt idx="47">
                  <c:v>12.052288800308016</c:v>
                </c:pt>
                <c:pt idx="48">
                  <c:v>12.06400477654825</c:v>
                </c:pt>
                <c:pt idx="49">
                  <c:v>11.912844276767057</c:v>
                </c:pt>
                <c:pt idx="50">
                  <c:v>10.031726518324813</c:v>
                </c:pt>
                <c:pt idx="51">
                  <c:v>10.207397137375827</c:v>
                </c:pt>
                <c:pt idx="52">
                  <c:v>9.9429558920389756</c:v>
                </c:pt>
                <c:pt idx="53">
                  <c:v>9.9056515101903031</c:v>
                </c:pt>
                <c:pt idx="54">
                  <c:v>10.148548466895965</c:v>
                </c:pt>
                <c:pt idx="55">
                  <c:v>9.9631168583766101</c:v>
                </c:pt>
                <c:pt idx="56">
                  <c:v>9.9582573920800943</c:v>
                </c:pt>
                <c:pt idx="57">
                  <c:v>10.147146649442051</c:v>
                </c:pt>
                <c:pt idx="58">
                  <c:v>10.056881026773148</c:v>
                </c:pt>
                <c:pt idx="59">
                  <c:v>9.9706865041556316</c:v>
                </c:pt>
                <c:pt idx="60">
                  <c:v>10.180577032318096</c:v>
                </c:pt>
                <c:pt idx="61">
                  <c:v>9.9522130648575562</c:v>
                </c:pt>
                <c:pt idx="62">
                  <c:v>9.9089827243658863</c:v>
                </c:pt>
                <c:pt idx="63">
                  <c:v>9.9316426934358439</c:v>
                </c:pt>
                <c:pt idx="64">
                  <c:v>9.9201091710392255</c:v>
                </c:pt>
                <c:pt idx="65">
                  <c:v>9.9508006749504432</c:v>
                </c:pt>
                <c:pt idx="66">
                  <c:v>10.088868620461662</c:v>
                </c:pt>
                <c:pt idx="67">
                  <c:v>9.9305746090633367</c:v>
                </c:pt>
                <c:pt idx="68">
                  <c:v>9.9955672180813249</c:v>
                </c:pt>
                <c:pt idx="69">
                  <c:v>9.9160343943025708</c:v>
                </c:pt>
                <c:pt idx="70">
                  <c:v>10.032583487904512</c:v>
                </c:pt>
                <c:pt idx="71">
                  <c:v>10.108067866807456</c:v>
                </c:pt>
                <c:pt idx="72">
                  <c:v>10.051070365819619</c:v>
                </c:pt>
                <c:pt idx="73">
                  <c:v>9.8571394246657515</c:v>
                </c:pt>
                <c:pt idx="74">
                  <c:v>9.9763571614949669</c:v>
                </c:pt>
                <c:pt idx="75">
                  <c:v>11.906037919937203</c:v>
                </c:pt>
                <c:pt idx="76">
                  <c:v>12.110466588128991</c:v>
                </c:pt>
                <c:pt idx="77">
                  <c:v>12.077127463533111</c:v>
                </c:pt>
                <c:pt idx="78">
                  <c:v>12.049479022388207</c:v>
                </c:pt>
                <c:pt idx="79">
                  <c:v>11.903065810024634</c:v>
                </c:pt>
                <c:pt idx="80">
                  <c:v>11.87114662643298</c:v>
                </c:pt>
                <c:pt idx="81">
                  <c:v>12.02258664774322</c:v>
                </c:pt>
                <c:pt idx="82">
                  <c:v>11.879882897265004</c:v>
                </c:pt>
                <c:pt idx="83">
                  <c:v>11.884808648352273</c:v>
                </c:pt>
                <c:pt idx="84">
                  <c:v>12.020219158657557</c:v>
                </c:pt>
                <c:pt idx="85">
                  <c:v>12.016349733501128</c:v>
                </c:pt>
                <c:pt idx="86">
                  <c:v>11.890648641818681</c:v>
                </c:pt>
                <c:pt idx="87">
                  <c:v>12.164355370108835</c:v>
                </c:pt>
                <c:pt idx="88">
                  <c:v>11.986641658523716</c:v>
                </c:pt>
                <c:pt idx="89">
                  <c:v>11.917315042809877</c:v>
                </c:pt>
                <c:pt idx="90">
                  <c:v>12.036344286633634</c:v>
                </c:pt>
                <c:pt idx="91">
                  <c:v>11.856076145174709</c:v>
                </c:pt>
                <c:pt idx="92">
                  <c:v>11.941748045031849</c:v>
                </c:pt>
                <c:pt idx="93">
                  <c:v>12.032661709009416</c:v>
                </c:pt>
                <c:pt idx="94">
                  <c:v>11.792169101134858</c:v>
                </c:pt>
                <c:pt idx="95">
                  <c:v>12.020150194735928</c:v>
                </c:pt>
                <c:pt idx="96">
                  <c:v>12.011627470548262</c:v>
                </c:pt>
                <c:pt idx="97">
                  <c:v>11.986941917891915</c:v>
                </c:pt>
                <c:pt idx="98">
                  <c:v>12.129416908768546</c:v>
                </c:pt>
                <c:pt idx="99">
                  <c:v>12.043609295819005</c:v>
                </c:pt>
                <c:pt idx="100">
                  <c:v>12.002271130858521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6-4091-A864-BC1E3090E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37192"/>
        <c:axId val="455544392"/>
      </c:lineChart>
      <c:catAx>
        <c:axId val="455537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44392"/>
        <c:crosses val="autoZero"/>
        <c:auto val="1"/>
        <c:lblAlgn val="ctr"/>
        <c:lblOffset val="100"/>
        <c:noMultiLvlLbl val="0"/>
      </c:catAx>
      <c:valAx>
        <c:axId val="4555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3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方波力!$E$12:$E$112</c:f>
              <c:numCache>
                <c:formatCode>0.000_ </c:formatCode>
                <c:ptCount val="101"/>
                <c:pt idx="0">
                  <c:v>-0.17398785524659033</c:v>
                </c:pt>
                <c:pt idx="1">
                  <c:v>4.9265260642744835E-2</c:v>
                </c:pt>
                <c:pt idx="2">
                  <c:v>-0.26152011600787295</c:v>
                </c:pt>
                <c:pt idx="3">
                  <c:v>3.3642527956691419E-2</c:v>
                </c:pt>
                <c:pt idx="4">
                  <c:v>0.13386887225991401</c:v>
                </c:pt>
                <c:pt idx="5">
                  <c:v>-3.2907690587152729E-3</c:v>
                </c:pt>
                <c:pt idx="6">
                  <c:v>9.444356475984135E-2</c:v>
                </c:pt>
                <c:pt idx="7">
                  <c:v>-1.9660817848116685E-2</c:v>
                </c:pt>
                <c:pt idx="8">
                  <c:v>-8.3107999299464497E-2</c:v>
                </c:pt>
                <c:pt idx="9">
                  <c:v>-0.12147293433936705</c:v>
                </c:pt>
                <c:pt idx="10">
                  <c:v>-3.5556938670861793E-2</c:v>
                </c:pt>
                <c:pt idx="11">
                  <c:v>-8.9196142186024979E-2</c:v>
                </c:pt>
                <c:pt idx="12">
                  <c:v>0.10957806577022186</c:v>
                </c:pt>
                <c:pt idx="13">
                  <c:v>0.10158926694401145</c:v>
                </c:pt>
                <c:pt idx="14">
                  <c:v>2.070691125139637E-2</c:v>
                </c:pt>
                <c:pt idx="15">
                  <c:v>0.117767682538756</c:v>
                </c:pt>
                <c:pt idx="16">
                  <c:v>-2.568401493941563E-2</c:v>
                </c:pt>
                <c:pt idx="17">
                  <c:v>2.2886665996854419E-2</c:v>
                </c:pt>
                <c:pt idx="18">
                  <c:v>-0.12542347557356151</c:v>
                </c:pt>
                <c:pt idx="19">
                  <c:v>-5.3460049496216293E-4</c:v>
                </c:pt>
                <c:pt idx="20">
                  <c:v>-1.6664249676518431E-2</c:v>
                </c:pt>
                <c:pt idx="21">
                  <c:v>7.7773902758216371E-2</c:v>
                </c:pt>
                <c:pt idx="22">
                  <c:v>-0.20149526912205859</c:v>
                </c:pt>
                <c:pt idx="23">
                  <c:v>2.0628070956578096E-2</c:v>
                </c:pt>
                <c:pt idx="24">
                  <c:v>0.13839005117559899</c:v>
                </c:pt>
                <c:pt idx="25">
                  <c:v>2.0346725028813988</c:v>
                </c:pt>
                <c:pt idx="26">
                  <c:v>1.6797763218103974</c:v>
                </c:pt>
                <c:pt idx="27">
                  <c:v>1.6812378083844226</c:v>
                </c:pt>
                <c:pt idx="28">
                  <c:v>1.4836548683294053</c:v>
                </c:pt>
                <c:pt idx="29">
                  <c:v>1.4643817529106922</c:v>
                </c:pt>
                <c:pt idx="30">
                  <c:v>1.1286085649891664</c:v>
                </c:pt>
                <c:pt idx="31">
                  <c:v>1.01550235597733</c:v>
                </c:pt>
                <c:pt idx="32">
                  <c:v>0.85895523495629345</c:v>
                </c:pt>
                <c:pt idx="33">
                  <c:v>0.65439137236641676</c:v>
                </c:pt>
                <c:pt idx="34">
                  <c:v>0.79756348455642989</c:v>
                </c:pt>
                <c:pt idx="35">
                  <c:v>0.71315275059300265</c:v>
                </c:pt>
                <c:pt idx="36">
                  <c:v>0.6576073220092753</c:v>
                </c:pt>
                <c:pt idx="37">
                  <c:v>0.5032625622027882</c:v>
                </c:pt>
                <c:pt idx="38">
                  <c:v>0.53440514377212933</c:v>
                </c:pt>
                <c:pt idx="39">
                  <c:v>0.4784796574021466</c:v>
                </c:pt>
                <c:pt idx="40">
                  <c:v>0.50471648990909368</c:v>
                </c:pt>
                <c:pt idx="41">
                  <c:v>0.4630910791737366</c:v>
                </c:pt>
                <c:pt idx="42">
                  <c:v>0.4357128236424066</c:v>
                </c:pt>
                <c:pt idx="43">
                  <c:v>0.31730808172502023</c:v>
                </c:pt>
                <c:pt idx="44">
                  <c:v>0.3127704273684937</c:v>
                </c:pt>
                <c:pt idx="45">
                  <c:v>0.29291942189117504</c:v>
                </c:pt>
                <c:pt idx="46">
                  <c:v>0.17123140514690527</c:v>
                </c:pt>
                <c:pt idx="47">
                  <c:v>0.24025530552881502</c:v>
                </c:pt>
                <c:pt idx="48">
                  <c:v>0.22794575121616756</c:v>
                </c:pt>
                <c:pt idx="49">
                  <c:v>5.3990676313357522E-2</c:v>
                </c:pt>
                <c:pt idx="50">
                  <c:v>-1.8325261497602221</c:v>
                </c:pt>
                <c:pt idx="51">
                  <c:v>-1.4736029157331865</c:v>
                </c:pt>
                <c:pt idx="52">
                  <c:v>-1.5906838694967189</c:v>
                </c:pt>
                <c:pt idx="53">
                  <c:v>-1.4689198643957195</c:v>
                </c:pt>
                <c:pt idx="54">
                  <c:v>-1.0791309212504854</c:v>
                </c:pt>
                <c:pt idx="55">
                  <c:v>-1.156649437644792</c:v>
                </c:pt>
                <c:pt idx="56">
                  <c:v>-1.0458439601768286</c:v>
                </c:pt>
                <c:pt idx="57">
                  <c:v>-0.75237030679718853</c:v>
                </c:pt>
                <c:pt idx="58">
                  <c:v>-0.76739889878637324</c:v>
                </c:pt>
                <c:pt idx="59">
                  <c:v>-0.77685353152525216</c:v>
                </c:pt>
                <c:pt idx="60">
                  <c:v>-0.48927765021026237</c:v>
                </c:pt>
                <c:pt idx="61">
                  <c:v>-0.66871385264977612</c:v>
                </c:pt>
                <c:pt idx="62">
                  <c:v>-0.64507280787646837</c:v>
                </c:pt>
                <c:pt idx="63">
                  <c:v>-0.55790555801886388</c:v>
                </c:pt>
                <c:pt idx="64">
                  <c:v>-0.513648524613596</c:v>
                </c:pt>
                <c:pt idx="65">
                  <c:v>-0.43159216824101865</c:v>
                </c:pt>
                <c:pt idx="66">
                  <c:v>-0.25036500590569777</c:v>
                </c:pt>
                <c:pt idx="67">
                  <c:v>-0.38362251671345354</c:v>
                </c:pt>
                <c:pt idx="68">
                  <c:v>-0.28026765602411996</c:v>
                </c:pt>
                <c:pt idx="69">
                  <c:v>-0.33177371420046198</c:v>
                </c:pt>
                <c:pt idx="70">
                  <c:v>-0.18204724917847448</c:v>
                </c:pt>
                <c:pt idx="71">
                  <c:v>-8.8358145357683021E-2</c:v>
                </c:pt>
                <c:pt idx="72">
                  <c:v>-0.13651983180975169</c:v>
                </c:pt>
                <c:pt idx="73">
                  <c:v>-0.3167987897826442</c:v>
                </c:pt>
                <c:pt idx="74">
                  <c:v>-0.16590117397516446</c:v>
                </c:pt>
                <c:pt idx="75">
                  <c:v>1.7803697018645883</c:v>
                </c:pt>
                <c:pt idx="76">
                  <c:v>1.8067613998699177</c:v>
                </c:pt>
                <c:pt idx="77">
                  <c:v>1.592746135287046</c:v>
                </c:pt>
                <c:pt idx="78">
                  <c:v>1.4058230806134366</c:v>
                </c:pt>
                <c:pt idx="79">
                  <c:v>1.11882756018852</c:v>
                </c:pt>
                <c:pt idx="80">
                  <c:v>0.9750256205780139</c:v>
                </c:pt>
                <c:pt idx="81">
                  <c:v>1.0289630798304523</c:v>
                </c:pt>
                <c:pt idx="82">
                  <c:v>0.78336302136919156</c:v>
                </c:pt>
                <c:pt idx="83">
                  <c:v>0.70995247031954123</c:v>
                </c:pt>
                <c:pt idx="84">
                  <c:v>0.77436773359287159</c:v>
                </c:pt>
                <c:pt idx="85">
                  <c:v>0.6930615350771554</c:v>
                </c:pt>
                <c:pt idx="86">
                  <c:v>0.49805428988699219</c:v>
                </c:pt>
                <c:pt idx="87">
                  <c:v>0.72195558918844727</c:v>
                </c:pt>
                <c:pt idx="88">
                  <c:v>0.47204631868448388</c:v>
                </c:pt>
                <c:pt idx="89">
                  <c:v>0.35551507110219616</c:v>
                </c:pt>
                <c:pt idx="90">
                  <c:v>0.43899280781573347</c:v>
                </c:pt>
                <c:pt idx="91">
                  <c:v>0.21482538557523556</c:v>
                </c:pt>
                <c:pt idx="92">
                  <c:v>0.27901474687485162</c:v>
                </c:pt>
                <c:pt idx="93">
                  <c:v>0.34202693616493329</c:v>
                </c:pt>
                <c:pt idx="94">
                  <c:v>6.7331634673882368E-2</c:v>
                </c:pt>
                <c:pt idx="95">
                  <c:v>0.28857956480756397</c:v>
                </c:pt>
                <c:pt idx="96">
                  <c:v>0.25119888413914193</c:v>
                </c:pt>
                <c:pt idx="97">
                  <c:v>0.20139344306888063</c:v>
                </c:pt>
                <c:pt idx="98">
                  <c:v>0.32372908963862312</c:v>
                </c:pt>
                <c:pt idx="99">
                  <c:v>0.20554856772522001</c:v>
                </c:pt>
                <c:pt idx="100">
                  <c:v>0.14365554599221397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2-41D5-8D59-7DF6EF03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13792"/>
        <c:axId val="455519552"/>
      </c:lineChart>
      <c:catAx>
        <c:axId val="45551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9552"/>
        <c:crosses val="autoZero"/>
        <c:auto val="1"/>
        <c:lblAlgn val="ctr"/>
        <c:lblOffset val="100"/>
        <c:noMultiLvlLbl val="0"/>
      </c:catAx>
      <c:valAx>
        <c:axId val="4555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51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方波力!$F$12:$F$112</c:f>
              <c:numCache>
                <c:formatCode>0.000_ </c:formatCode>
                <c:ptCount val="101"/>
                <c:pt idx="0">
                  <c:v>0</c:v>
                </c:pt>
                <c:pt idx="1">
                  <c:v>4.9265260642744838E-3</c:v>
                </c:pt>
                <c:pt idx="2">
                  <c:v>-2.1225485536512816E-2</c:v>
                </c:pt>
                <c:pt idx="3">
                  <c:v>-1.7861232740843672E-2</c:v>
                </c:pt>
                <c:pt idx="4">
                  <c:v>-4.4743455148522713E-3</c:v>
                </c:pt>
                <c:pt idx="5">
                  <c:v>-4.8034224207237986E-3</c:v>
                </c:pt>
                <c:pt idx="6">
                  <c:v>4.6409340552603364E-3</c:v>
                </c:pt>
                <c:pt idx="7">
                  <c:v>2.6748522704486679E-3</c:v>
                </c:pt>
                <c:pt idx="8">
                  <c:v>-5.6359476594977824E-3</c:v>
                </c:pt>
                <c:pt idx="9">
                  <c:v>-1.7783241093434488E-2</c:v>
                </c:pt>
                <c:pt idx="10">
                  <c:v>-2.1338934960520667E-2</c:v>
                </c:pt>
                <c:pt idx="11">
                  <c:v>-3.0258549179123163E-2</c:v>
                </c:pt>
                <c:pt idx="12">
                  <c:v>-1.9300742602100976E-2</c:v>
                </c:pt>
                <c:pt idx="13">
                  <c:v>-9.1418159076998295E-3</c:v>
                </c:pt>
                <c:pt idx="14">
                  <c:v>-7.0711247825601918E-3</c:v>
                </c:pt>
                <c:pt idx="15">
                  <c:v>4.7056434713154092E-3</c:v>
                </c:pt>
                <c:pt idx="16">
                  <c:v>2.1372419773738461E-3</c:v>
                </c:pt>
                <c:pt idx="17">
                  <c:v>4.4259085770592885E-3</c:v>
                </c:pt>
                <c:pt idx="18">
                  <c:v>-8.1164389802968629E-3</c:v>
                </c:pt>
                <c:pt idx="19">
                  <c:v>-8.169899029793079E-3</c:v>
                </c:pt>
                <c:pt idx="20">
                  <c:v>-9.8363239974449228E-3</c:v>
                </c:pt>
                <c:pt idx="21">
                  <c:v>-2.0589337216232852E-3</c:v>
                </c:pt>
                <c:pt idx="22">
                  <c:v>-2.2208460633829145E-2</c:v>
                </c:pt>
                <c:pt idx="23">
                  <c:v>-2.0145653538171333E-2</c:v>
                </c:pt>
                <c:pt idx="24">
                  <c:v>-6.3066484206114326E-3</c:v>
                </c:pt>
                <c:pt idx="25">
                  <c:v>0.19716060186752846</c:v>
                </c:pt>
                <c:pt idx="26">
                  <c:v>0.36513823404856821</c:v>
                </c:pt>
                <c:pt idx="27">
                  <c:v>0.53326201488701042</c:v>
                </c:pt>
                <c:pt idx="28">
                  <c:v>0.6816275017199509</c:v>
                </c:pt>
                <c:pt idx="29">
                  <c:v>0.82806567701102018</c:v>
                </c:pt>
                <c:pt idx="30">
                  <c:v>0.94092653350993682</c:v>
                </c:pt>
                <c:pt idx="31">
                  <c:v>1.0424767691076697</c:v>
                </c:pt>
                <c:pt idx="32">
                  <c:v>1.1283722926032991</c:v>
                </c:pt>
                <c:pt idx="33">
                  <c:v>1.1938114298399407</c:v>
                </c:pt>
                <c:pt idx="34">
                  <c:v>1.2735677782955837</c:v>
                </c:pt>
                <c:pt idx="35">
                  <c:v>1.3448830533548839</c:v>
                </c:pt>
                <c:pt idx="36">
                  <c:v>1.4106437855558114</c:v>
                </c:pt>
                <c:pt idx="37">
                  <c:v>1.4609700417760902</c:v>
                </c:pt>
                <c:pt idx="38">
                  <c:v>1.5144105561533032</c:v>
                </c:pt>
                <c:pt idx="39">
                  <c:v>1.5622585218935179</c:v>
                </c:pt>
                <c:pt idx="40">
                  <c:v>1.6127301708844273</c:v>
                </c:pt>
                <c:pt idx="41">
                  <c:v>1.6590392788018009</c:v>
                </c:pt>
                <c:pt idx="42">
                  <c:v>1.7026105611660416</c:v>
                </c:pt>
                <c:pt idx="43">
                  <c:v>1.7343413693385437</c:v>
                </c:pt>
                <c:pt idx="44">
                  <c:v>1.7656184120753931</c:v>
                </c:pt>
                <c:pt idx="45">
                  <c:v>1.7949103542645106</c:v>
                </c:pt>
                <c:pt idx="46">
                  <c:v>1.8120334947792012</c:v>
                </c:pt>
                <c:pt idx="47">
                  <c:v>1.8360590253320828</c:v>
                </c:pt>
                <c:pt idx="48">
                  <c:v>1.8588536004536995</c:v>
                </c:pt>
                <c:pt idx="49">
                  <c:v>1.8642526680850353</c:v>
                </c:pt>
                <c:pt idx="50">
                  <c:v>1.681000053109013</c:v>
                </c:pt>
                <c:pt idx="51">
                  <c:v>1.5336397615356945</c:v>
                </c:pt>
                <c:pt idx="52">
                  <c:v>1.3745713745860226</c:v>
                </c:pt>
                <c:pt idx="53">
                  <c:v>1.2276793881464507</c:v>
                </c:pt>
                <c:pt idx="54">
                  <c:v>1.1197662960214021</c:v>
                </c:pt>
                <c:pt idx="55">
                  <c:v>1.0041013522569229</c:v>
                </c:pt>
                <c:pt idx="56">
                  <c:v>0.89951695623924</c:v>
                </c:pt>
                <c:pt idx="57">
                  <c:v>0.82427992555952112</c:v>
                </c:pt>
                <c:pt idx="58">
                  <c:v>0.74754003568088379</c:v>
                </c:pt>
                <c:pt idx="59">
                  <c:v>0.66985468252835856</c:v>
                </c:pt>
                <c:pt idx="60">
                  <c:v>0.62092691750733231</c:v>
                </c:pt>
                <c:pt idx="61">
                  <c:v>0.55405553224235471</c:v>
                </c:pt>
                <c:pt idx="62">
                  <c:v>0.48954825145470787</c:v>
                </c:pt>
                <c:pt idx="63">
                  <c:v>0.43375769565282146</c:v>
                </c:pt>
                <c:pt idx="64">
                  <c:v>0.38239284319146183</c:v>
                </c:pt>
                <c:pt idx="65">
                  <c:v>0.33923362636735999</c:v>
                </c:pt>
                <c:pt idx="66">
                  <c:v>0.31419712577679021</c:v>
                </c:pt>
                <c:pt idx="67">
                  <c:v>0.27583487410544483</c:v>
                </c:pt>
                <c:pt idx="68">
                  <c:v>0.24780810850303284</c:v>
                </c:pt>
                <c:pt idx="69">
                  <c:v>0.21463073708298663</c:v>
                </c:pt>
                <c:pt idx="70">
                  <c:v>0.19642601216513919</c:v>
                </c:pt>
                <c:pt idx="71">
                  <c:v>0.1875901976293709</c:v>
                </c:pt>
                <c:pt idx="72">
                  <c:v>0.17393821444839574</c:v>
                </c:pt>
                <c:pt idx="73">
                  <c:v>0.14225833547013134</c:v>
                </c:pt>
                <c:pt idx="74">
                  <c:v>0.12566821807261488</c:v>
                </c:pt>
                <c:pt idx="75">
                  <c:v>0.30370518825907372</c:v>
                </c:pt>
                <c:pt idx="76">
                  <c:v>0.4843813282460655</c:v>
                </c:pt>
                <c:pt idx="77">
                  <c:v>0.64365594177477015</c:v>
                </c:pt>
                <c:pt idx="78">
                  <c:v>0.78423824983611379</c:v>
                </c:pt>
                <c:pt idx="79">
                  <c:v>0.89612100585496579</c:v>
                </c:pt>
                <c:pt idx="80">
                  <c:v>0.99362356791276718</c:v>
                </c:pt>
                <c:pt idx="81">
                  <c:v>1.0965198758958123</c:v>
                </c:pt>
                <c:pt idx="82">
                  <c:v>1.1748561780327316</c:v>
                </c:pt>
                <c:pt idx="83">
                  <c:v>1.2458514250646857</c:v>
                </c:pt>
                <c:pt idx="84">
                  <c:v>1.3232881984239728</c:v>
                </c:pt>
                <c:pt idx="85">
                  <c:v>1.3925943519316883</c:v>
                </c:pt>
                <c:pt idx="86">
                  <c:v>1.4423997809203875</c:v>
                </c:pt>
                <c:pt idx="87">
                  <c:v>1.5145953398392322</c:v>
                </c:pt>
                <c:pt idx="88">
                  <c:v>1.5617999717076807</c:v>
                </c:pt>
                <c:pt idx="89">
                  <c:v>1.5973514788179004</c:v>
                </c:pt>
                <c:pt idx="90">
                  <c:v>1.6412507595994739</c:v>
                </c:pt>
                <c:pt idx="91">
                  <c:v>1.6627332981569973</c:v>
                </c:pt>
                <c:pt idx="92">
                  <c:v>1.6906347728444824</c:v>
                </c:pt>
                <c:pt idx="93">
                  <c:v>1.7248374664609758</c:v>
                </c:pt>
                <c:pt idx="94">
                  <c:v>1.731570629928364</c:v>
                </c:pt>
                <c:pt idx="95">
                  <c:v>1.7604285864091205</c:v>
                </c:pt>
                <c:pt idx="96">
                  <c:v>1.7855484748230346</c:v>
                </c:pt>
                <c:pt idx="97">
                  <c:v>1.8056878191299226</c:v>
                </c:pt>
                <c:pt idx="98">
                  <c:v>1.8380607280937848</c:v>
                </c:pt>
                <c:pt idx="99">
                  <c:v>1.8586155848663068</c:v>
                </c:pt>
                <c:pt idx="100">
                  <c:v>1.8729811394655282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0-4E3D-A16F-C4301881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方波力!$G$12:$G$112</c:f>
              <c:numCache>
                <c:formatCode>0.000_ </c:formatCode>
                <c:ptCount val="101"/>
                <c:pt idx="0">
                  <c:v>0</c:v>
                </c:pt>
                <c:pt idx="1">
                  <c:v>4.926526064274484E-4</c:v>
                </c:pt>
                <c:pt idx="2">
                  <c:v>-1.6298959472238334E-3</c:v>
                </c:pt>
                <c:pt idx="3">
                  <c:v>-3.4160192213082007E-3</c:v>
                </c:pt>
                <c:pt idx="4">
                  <c:v>-3.863453772793428E-3</c:v>
                </c:pt>
                <c:pt idx="5">
                  <c:v>-4.3437960148658078E-3</c:v>
                </c:pt>
                <c:pt idx="6">
                  <c:v>-3.879702609339774E-3</c:v>
                </c:pt>
                <c:pt idx="7">
                  <c:v>-3.6122173822949071E-3</c:v>
                </c:pt>
                <c:pt idx="8">
                  <c:v>-4.1758121482446857E-3</c:v>
                </c:pt>
                <c:pt idx="9">
                  <c:v>-5.9541362575881345E-3</c:v>
                </c:pt>
                <c:pt idx="10">
                  <c:v>-8.0880297536402006E-3</c:v>
                </c:pt>
                <c:pt idx="11">
                  <c:v>-1.1113884671552518E-2</c:v>
                </c:pt>
                <c:pt idx="12">
                  <c:v>-1.3043958931762616E-2</c:v>
                </c:pt>
                <c:pt idx="13">
                  <c:v>-1.39581405225326E-2</c:v>
                </c:pt>
                <c:pt idx="14">
                  <c:v>-1.4665253000788619E-2</c:v>
                </c:pt>
                <c:pt idx="15">
                  <c:v>-1.4194688653657079E-2</c:v>
                </c:pt>
                <c:pt idx="16">
                  <c:v>-1.3980964455919695E-2</c:v>
                </c:pt>
                <c:pt idx="17">
                  <c:v>-1.3538373598213766E-2</c:v>
                </c:pt>
                <c:pt idx="18">
                  <c:v>-1.4350017496243452E-2</c:v>
                </c:pt>
                <c:pt idx="19">
                  <c:v>-1.516700739922276E-2</c:v>
                </c:pt>
                <c:pt idx="20">
                  <c:v>-1.6150639798967251E-2</c:v>
                </c:pt>
                <c:pt idx="21">
                  <c:v>-1.6356533171129579E-2</c:v>
                </c:pt>
                <c:pt idx="22">
                  <c:v>-1.8577379234512494E-2</c:v>
                </c:pt>
                <c:pt idx="23">
                  <c:v>-2.0591944588329629E-2</c:v>
                </c:pt>
                <c:pt idx="24">
                  <c:v>-2.1222609430390772E-2</c:v>
                </c:pt>
                <c:pt idx="25">
                  <c:v>-1.5065492436379252E-3</c:v>
                </c:pt>
                <c:pt idx="26">
                  <c:v>3.5007274161218897E-2</c:v>
                </c:pt>
                <c:pt idx="27">
                  <c:v>8.8333475649919946E-2</c:v>
                </c:pt>
                <c:pt idx="28">
                  <c:v>0.15649622582191502</c:v>
                </c:pt>
                <c:pt idx="29">
                  <c:v>0.23930279352301703</c:v>
                </c:pt>
                <c:pt idx="30">
                  <c:v>0.33339544687401074</c:v>
                </c:pt>
                <c:pt idx="31">
                  <c:v>0.43764312378477771</c:v>
                </c:pt>
                <c:pt idx="32">
                  <c:v>0.55048035304510767</c:v>
                </c:pt>
                <c:pt idx="33">
                  <c:v>0.66986149602910172</c:v>
                </c:pt>
                <c:pt idx="34">
                  <c:v>0.79721827385866006</c:v>
                </c:pt>
                <c:pt idx="35">
                  <c:v>0.93170657919414845</c:v>
                </c:pt>
                <c:pt idx="36">
                  <c:v>1.0727709577497295</c:v>
                </c:pt>
                <c:pt idx="37">
                  <c:v>1.2188679619273386</c:v>
                </c:pt>
                <c:pt idx="38">
                  <c:v>1.3703090175426689</c:v>
                </c:pt>
                <c:pt idx="39">
                  <c:v>1.5265348697320207</c:v>
                </c:pt>
                <c:pt idx="40">
                  <c:v>1.6878078868204633</c:v>
                </c:pt>
                <c:pt idx="41">
                  <c:v>1.8537118147006435</c:v>
                </c:pt>
                <c:pt idx="42">
                  <c:v>2.0239728708172477</c:v>
                </c:pt>
                <c:pt idx="43">
                  <c:v>2.1974070077511021</c:v>
                </c:pt>
                <c:pt idx="44">
                  <c:v>2.3739688489586412</c:v>
                </c:pt>
                <c:pt idx="45">
                  <c:v>2.5534598843850924</c:v>
                </c:pt>
                <c:pt idx="46">
                  <c:v>2.7346632338630124</c:v>
                </c:pt>
                <c:pt idx="47">
                  <c:v>2.9182691363962205</c:v>
                </c:pt>
                <c:pt idx="48">
                  <c:v>3.1041544964415904</c:v>
                </c:pt>
                <c:pt idx="49">
                  <c:v>3.2905797632500939</c:v>
                </c:pt>
                <c:pt idx="50">
                  <c:v>3.4586797685609953</c:v>
                </c:pt>
                <c:pt idx="51">
                  <c:v>3.6120437447145646</c:v>
                </c:pt>
                <c:pt idx="52">
                  <c:v>3.7495008821731668</c:v>
                </c:pt>
                <c:pt idx="53">
                  <c:v>3.872268820987812</c:v>
                </c:pt>
                <c:pt idx="54">
                  <c:v>3.9842454505899521</c:v>
                </c:pt>
                <c:pt idx="55">
                  <c:v>4.0846555858156446</c:v>
                </c:pt>
                <c:pt idx="56">
                  <c:v>4.1746072814395685</c:v>
                </c:pt>
                <c:pt idx="57">
                  <c:v>4.2570352739955206</c:v>
                </c:pt>
                <c:pt idx="58">
                  <c:v>4.3317892775636091</c:v>
                </c:pt>
                <c:pt idx="59">
                  <c:v>4.3987747458164446</c:v>
                </c:pt>
                <c:pt idx="60">
                  <c:v>4.4608674375671775</c:v>
                </c:pt>
                <c:pt idx="61">
                  <c:v>4.5162729907914132</c:v>
                </c:pt>
                <c:pt idx="62">
                  <c:v>4.5652278159368844</c:v>
                </c:pt>
                <c:pt idx="63">
                  <c:v>4.6086035855021663</c:v>
                </c:pt>
                <c:pt idx="64">
                  <c:v>4.6468428698213122</c:v>
                </c:pt>
                <c:pt idx="65">
                  <c:v>4.6807662324580486</c:v>
                </c:pt>
                <c:pt idx="66">
                  <c:v>4.7121859450357277</c:v>
                </c:pt>
                <c:pt idx="67">
                  <c:v>4.7397694324462725</c:v>
                </c:pt>
                <c:pt idx="68">
                  <c:v>4.7645502432965756</c:v>
                </c:pt>
                <c:pt idx="69">
                  <c:v>4.7860133170048744</c:v>
                </c:pt>
                <c:pt idx="70">
                  <c:v>4.8056559182213885</c:v>
                </c:pt>
                <c:pt idx="71">
                  <c:v>4.8244149379843257</c:v>
                </c:pt>
                <c:pt idx="72">
                  <c:v>4.8418087594291652</c:v>
                </c:pt>
                <c:pt idx="73">
                  <c:v>4.8560345929761786</c:v>
                </c:pt>
                <c:pt idx="74">
                  <c:v>4.8686014147834404</c:v>
                </c:pt>
                <c:pt idx="75">
                  <c:v>4.8989719336093476</c:v>
                </c:pt>
                <c:pt idx="76">
                  <c:v>4.947410066433954</c:v>
                </c:pt>
                <c:pt idx="77">
                  <c:v>5.0117756606114314</c:v>
                </c:pt>
                <c:pt idx="78">
                  <c:v>5.0901994855950425</c:v>
                </c:pt>
                <c:pt idx="79">
                  <c:v>5.1798115861805387</c:v>
                </c:pt>
                <c:pt idx="80">
                  <c:v>5.2791739429718154</c:v>
                </c:pt>
                <c:pt idx="81">
                  <c:v>5.3888259305613966</c:v>
                </c:pt>
                <c:pt idx="82">
                  <c:v>5.5063115483646694</c:v>
                </c:pt>
                <c:pt idx="83">
                  <c:v>5.630896690871138</c:v>
                </c:pt>
                <c:pt idx="84">
                  <c:v>5.7632255107135348</c:v>
                </c:pt>
                <c:pt idx="85">
                  <c:v>5.9024849459067035</c:v>
                </c:pt>
                <c:pt idx="86">
                  <c:v>6.0467249239987426</c:v>
                </c:pt>
                <c:pt idx="87">
                  <c:v>6.1981844579826655</c:v>
                </c:pt>
                <c:pt idx="88">
                  <c:v>6.3543644551534335</c:v>
                </c:pt>
                <c:pt idx="89">
                  <c:v>6.5140996030352234</c:v>
                </c:pt>
                <c:pt idx="90">
                  <c:v>6.6782246789951705</c:v>
                </c:pt>
                <c:pt idx="91">
                  <c:v>6.84449800881087</c:v>
                </c:pt>
                <c:pt idx="92">
                  <c:v>7.0135614860953179</c:v>
                </c:pt>
                <c:pt idx="93">
                  <c:v>7.1860452327414155</c:v>
                </c:pt>
                <c:pt idx="94">
                  <c:v>7.359202295734252</c:v>
                </c:pt>
                <c:pt idx="95">
                  <c:v>7.535245154375164</c:v>
                </c:pt>
                <c:pt idx="96">
                  <c:v>7.7138000018574671</c:v>
                </c:pt>
                <c:pt idx="97">
                  <c:v>7.8943687837704593</c:v>
                </c:pt>
                <c:pt idx="98">
                  <c:v>8.078174856579837</c:v>
                </c:pt>
                <c:pt idx="99">
                  <c:v>8.2640364150664674</c:v>
                </c:pt>
                <c:pt idx="100">
                  <c:v>8.4513345290130211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1-485F-A7D7-548C7B8E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x'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方波力!$H$12:$H$112</c:f>
              <c:numCache>
                <c:formatCode>0.000_ </c:formatCode>
                <c:ptCount val="101"/>
                <c:pt idx="0">
                  <c:v>9.5562778200098709E-3</c:v>
                </c:pt>
                <c:pt idx="1">
                  <c:v>1.5729453159596136E-2</c:v>
                </c:pt>
                <c:pt idx="2">
                  <c:v>-1.7088824090637597E-2</c:v>
                </c:pt>
                <c:pt idx="3">
                  <c:v>7.3144029118919979E-4</c:v>
                </c:pt>
                <c:pt idx="4">
                  <c:v>-3.4861152895958908E-3</c:v>
                </c:pt>
                <c:pt idx="5">
                  <c:v>-1.4241784046269901E-2</c:v>
                </c:pt>
                <c:pt idx="6">
                  <c:v>-6.0493464810874725E-3</c:v>
                </c:pt>
                <c:pt idx="7">
                  <c:v>7.8565166517535713E-4</c:v>
                </c:pt>
                <c:pt idx="8">
                  <c:v>4.5349883563590866E-4</c:v>
                </c:pt>
                <c:pt idx="9">
                  <c:v>-1.4092007877820775E-2</c:v>
                </c:pt>
                <c:pt idx="10">
                  <c:v>-1.428440135084243E-2</c:v>
                </c:pt>
                <c:pt idx="11">
                  <c:v>-1.7075221472274124E-2</c:v>
                </c:pt>
                <c:pt idx="12">
                  <c:v>-1.3880251483996568E-2</c:v>
                </c:pt>
                <c:pt idx="13">
                  <c:v>-7.331733519117205E-3</c:v>
                </c:pt>
                <c:pt idx="14">
                  <c:v>-2.459112693879921E-2</c:v>
                </c:pt>
                <c:pt idx="15">
                  <c:v>-1.4374942745101732E-2</c:v>
                </c:pt>
                <c:pt idx="16">
                  <c:v>-7.811643378472205E-3</c:v>
                </c:pt>
                <c:pt idx="17">
                  <c:v>-2.0805893184561837E-2</c:v>
                </c:pt>
                <c:pt idx="18">
                  <c:v>-2.8138664047446207E-2</c:v>
                </c:pt>
                <c:pt idx="19">
                  <c:v>-7.73965020422826E-3</c:v>
                </c:pt>
                <c:pt idx="20">
                  <c:v>7.4414485230199605E-3</c:v>
                </c:pt>
                <c:pt idx="21">
                  <c:v>-2.2668543434122765E-2</c:v>
                </c:pt>
                <c:pt idx="22">
                  <c:v>-1.5132884893949816E-2</c:v>
                </c:pt>
                <c:pt idx="23">
                  <c:v>-3.1312093113984779E-2</c:v>
                </c:pt>
                <c:pt idx="24">
                  <c:v>-2.5323425481821281E-3</c:v>
                </c:pt>
                <c:pt idx="25">
                  <c:v>8.5454081887520288E-3</c:v>
                </c:pt>
                <c:pt idx="26">
                  <c:v>4.1534000208742622E-2</c:v>
                </c:pt>
                <c:pt idx="27">
                  <c:v>9.2459037429754726E-2</c:v>
                </c:pt>
                <c:pt idx="28">
                  <c:v>0.15068989059842106</c:v>
                </c:pt>
                <c:pt idx="29">
                  <c:v>0.24244747205159012</c:v>
                </c:pt>
                <c:pt idx="30">
                  <c:v>0.32512486652144257</c:v>
                </c:pt>
                <c:pt idx="31">
                  <c:v>0.43188607854032229</c:v>
                </c:pt>
                <c:pt idx="32">
                  <c:v>0.53518963949230902</c:v>
                </c:pt>
                <c:pt idx="33">
                  <c:v>0.66645042693502365</c:v>
                </c:pt>
                <c:pt idx="34">
                  <c:v>0.80244902605469171</c:v>
                </c:pt>
                <c:pt idx="35">
                  <c:v>0.94263569519372115</c:v>
                </c:pt>
                <c:pt idx="36">
                  <c:v>1.0715163574005369</c:v>
                </c:pt>
                <c:pt idx="37">
                  <c:v>1.2348045362563482</c:v>
                </c:pt>
                <c:pt idx="38">
                  <c:v>1.3818313500314519</c:v>
                </c:pt>
                <c:pt idx="39">
                  <c:v>1.5248212002916679</c:v>
                </c:pt>
                <c:pt idx="40">
                  <c:v>1.6916092862140442</c:v>
                </c:pt>
                <c:pt idx="41">
                  <c:v>1.854923958174687</c:v>
                </c:pt>
                <c:pt idx="42">
                  <c:v>2.0098822238660237</c:v>
                </c:pt>
                <c:pt idx="43">
                  <c:v>2.1944132054726149</c:v>
                </c:pt>
                <c:pt idx="44">
                  <c:v>2.3655962127624193</c:v>
                </c:pt>
                <c:pt idx="45">
                  <c:v>2.5611465757189467</c:v>
                </c:pt>
                <c:pt idx="46">
                  <c:v>2.7350248265288752</c:v>
                </c:pt>
                <c:pt idx="47">
                  <c:v>2.906224121767663</c:v>
                </c:pt>
                <c:pt idx="48">
                  <c:v>3.1128623591934117</c:v>
                </c:pt>
                <c:pt idx="49">
                  <c:v>3.3015586935882646</c:v>
                </c:pt>
                <c:pt idx="50">
                  <c:v>3.461683111369902</c:v>
                </c:pt>
                <c:pt idx="51">
                  <c:v>3.6076523944682304</c:v>
                </c:pt>
                <c:pt idx="52">
                  <c:v>3.7414733001282681</c:v>
                </c:pt>
                <c:pt idx="53">
                  <c:v>3.875280328839414</c:v>
                </c:pt>
                <c:pt idx="54">
                  <c:v>3.9709098102537324</c:v>
                </c:pt>
                <c:pt idx="55">
                  <c:v>4.0838791831158865</c:v>
                </c:pt>
                <c:pt idx="56">
                  <c:v>4.1739307671909485</c:v>
                </c:pt>
                <c:pt idx="57">
                  <c:v>4.2718682308915028</c:v>
                </c:pt>
                <c:pt idx="58">
                  <c:v>4.3328258747543753</c:v>
                </c:pt>
                <c:pt idx="59">
                  <c:v>4.4115028513874988</c:v>
                </c:pt>
                <c:pt idx="60">
                  <c:v>4.4624759304829524</c:v>
                </c:pt>
                <c:pt idx="61">
                  <c:v>4.5290905709055611</c:v>
                </c:pt>
                <c:pt idx="62">
                  <c:v>4.5572458683615888</c:v>
                </c:pt>
                <c:pt idx="63">
                  <c:v>4.6097507734860255</c:v>
                </c:pt>
                <c:pt idx="64">
                  <c:v>4.6362504601252477</c:v>
                </c:pt>
                <c:pt idx="65">
                  <c:v>4.6987586487845023</c:v>
                </c:pt>
                <c:pt idx="66">
                  <c:v>4.7204272505407037</c:v>
                </c:pt>
                <c:pt idx="67">
                  <c:v>4.755499151634857</c:v>
                </c:pt>
                <c:pt idx="68">
                  <c:v>4.7508959122659578</c:v>
                </c:pt>
                <c:pt idx="69">
                  <c:v>4.7680740333563323</c:v>
                </c:pt>
                <c:pt idx="70">
                  <c:v>4.8035517452325029</c:v>
                </c:pt>
                <c:pt idx="71">
                  <c:v>4.8118395528156999</c:v>
                </c:pt>
                <c:pt idx="72">
                  <c:v>4.8428728759405777</c:v>
                </c:pt>
                <c:pt idx="73">
                  <c:v>4.8537569891649923</c:v>
                </c:pt>
                <c:pt idx="74">
                  <c:v>4.8838437945447346</c:v>
                </c:pt>
                <c:pt idx="75">
                  <c:v>4.9041116973062691</c:v>
                </c:pt>
                <c:pt idx="76">
                  <c:v>4.9454985293769793</c:v>
                </c:pt>
                <c:pt idx="77">
                  <c:v>5.0236301159333339</c:v>
                </c:pt>
                <c:pt idx="78">
                  <c:v>5.0619443580014769</c:v>
                </c:pt>
                <c:pt idx="79">
                  <c:v>5.1644372875961997</c:v>
                </c:pt>
                <c:pt idx="80">
                  <c:v>5.2779186021755251</c:v>
                </c:pt>
                <c:pt idx="81">
                  <c:v>5.3835818661161783</c:v>
                </c:pt>
                <c:pt idx="82">
                  <c:v>5.4982277315695161</c:v>
                </c:pt>
                <c:pt idx="83">
                  <c:v>5.6322207730318832</c:v>
                </c:pt>
                <c:pt idx="84">
                  <c:v>5.7800112628278466</c:v>
                </c:pt>
                <c:pt idx="85">
                  <c:v>5.9061200543969585</c:v>
                </c:pt>
                <c:pt idx="86">
                  <c:v>6.0408620767581658</c:v>
                </c:pt>
                <c:pt idx="87">
                  <c:v>6.227363477480977</c:v>
                </c:pt>
                <c:pt idx="88">
                  <c:v>6.3526881220976081</c:v>
                </c:pt>
                <c:pt idx="89">
                  <c:v>6.5140461700535672</c:v>
                </c:pt>
                <c:pt idx="90">
                  <c:v>6.6800539092942266</c:v>
                </c:pt>
                <c:pt idx="91">
                  <c:v>6.8397488168992027</c:v>
                </c:pt>
                <c:pt idx="92">
                  <c:v>7.0398401543932989</c:v>
                </c:pt>
                <c:pt idx="93">
                  <c:v>7.19463483369426</c:v>
                </c:pt>
                <c:pt idx="94">
                  <c:v>7.3694315579486336</c:v>
                </c:pt>
                <c:pt idx="95">
                  <c:v>7.5556585243573853</c:v>
                </c:pt>
                <c:pt idx="96">
                  <c:v>7.7146702816618911</c:v>
                </c:pt>
                <c:pt idx="97">
                  <c:v>7.9049826314336755</c:v>
                </c:pt>
                <c:pt idx="98">
                  <c:v>8.0580793929726973</c:v>
                </c:pt>
                <c:pt idx="99">
                  <c:v>8.2783682025629499</c:v>
                </c:pt>
                <c:pt idx="100">
                  <c:v>8.4653202628722983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C-46CA-A49A-26A31090B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方波力!$I$12:$I$112</c:f>
              <c:numCache>
                <c:formatCode>0.000_ </c:formatCode>
                <c:ptCount val="101"/>
                <c:pt idx="0">
                  <c:v>9.5562778200098709E-3</c:v>
                </c:pt>
                <c:pt idx="1">
                  <c:v>9.5562778200098709E-3</c:v>
                </c:pt>
                <c:pt idx="2">
                  <c:v>9.6180095734057329E-3</c:v>
                </c:pt>
                <c:pt idx="3">
                  <c:v>9.3509412367652998E-3</c:v>
                </c:pt>
                <c:pt idx="4">
                  <c:v>9.2647462273095383E-3</c:v>
                </c:pt>
                <c:pt idx="5">
                  <c:v>9.1372376121404836E-3</c:v>
                </c:pt>
                <c:pt idx="6">
                  <c:v>8.9034473955563794E-3</c:v>
                </c:pt>
                <c:pt idx="7">
                  <c:v>8.7539194567899416E-3</c:v>
                </c:pt>
                <c:pt idx="8">
                  <c:v>8.6742367788737954E-3</c:v>
                </c:pt>
                <c:pt idx="9">
                  <c:v>8.5920293994414167E-3</c:v>
                </c:pt>
                <c:pt idx="10">
                  <c:v>8.3651890266687942E-3</c:v>
                </c:pt>
                <c:pt idx="11">
                  <c:v>8.138693122893682E-3</c:v>
                </c:pt>
                <c:pt idx="12">
                  <c:v>7.886553976942004E-3</c:v>
                </c:pt>
                <c:pt idx="13">
                  <c:v>7.6688859223326186E-3</c:v>
                </c:pt>
                <c:pt idx="14">
                  <c:v>7.5188797279181199E-3</c:v>
                </c:pt>
                <c:pt idx="15">
                  <c:v>7.1977796612509469E-3</c:v>
                </c:pt>
                <c:pt idx="16">
                  <c:v>6.9820524371874198E-3</c:v>
                </c:pt>
                <c:pt idx="17">
                  <c:v>6.8341154790308237E-3</c:v>
                </c:pt>
                <c:pt idx="18">
                  <c:v>6.5577153923948974E-3</c:v>
                </c:pt>
                <c:pt idx="19">
                  <c:v>6.2107515979964861E-3</c:v>
                </c:pt>
                <c:pt idx="20">
                  <c:v>6.0712475799742389E-3</c:v>
                </c:pt>
                <c:pt idx="21">
                  <c:v>6.0849495894046961E-3</c:v>
                </c:pt>
                <c:pt idx="22">
                  <c:v>5.7974146591694212E-3</c:v>
                </c:pt>
                <c:pt idx="23">
                  <c:v>5.5881116636382292E-3</c:v>
                </c:pt>
                <c:pt idx="24">
                  <c:v>5.219109615861999E-3</c:v>
                </c:pt>
                <c:pt idx="25">
                  <c:v>5.1415950942215573E-3</c:v>
                </c:pt>
                <c:pt idx="26">
                  <c:v>5.1756332251668624E-3</c:v>
                </c:pt>
                <c:pt idx="27">
                  <c:v>2.5539216895002624E-2</c:v>
                </c:pt>
                <c:pt idx="28">
                  <c:v>6.420841510035015E-2</c:v>
                </c:pt>
                <c:pt idx="29">
                  <c:v>0.11927322985533087</c:v>
                </c:pt>
                <c:pt idx="30">
                  <c:v>0.18928497227729346</c:v>
                </c:pt>
                <c:pt idx="31">
                  <c:v>0.27254537121973499</c:v>
                </c:pt>
                <c:pt idx="32">
                  <c:v>0.36785057829294088</c:v>
                </c:pt>
                <c:pt idx="33">
                  <c:v>0.47386458890493455</c:v>
                </c:pt>
                <c:pt idx="34">
                  <c:v>0.5896970052852355</c:v>
                </c:pt>
                <c:pt idx="35">
                  <c:v>0.71434042769293005</c:v>
                </c:pt>
                <c:pt idx="36">
                  <c:v>0.84688769234793804</c:v>
                </c:pt>
                <c:pt idx="37">
                  <c:v>0.98637185978046404</c:v>
                </c:pt>
                <c:pt idx="38">
                  <c:v>1.1323702792490229</c:v>
                </c:pt>
                <c:pt idx="39">
                  <c:v>1.2840275733902673</c:v>
                </c:pt>
                <c:pt idx="40">
                  <c:v>1.4406819247493594</c:v>
                </c:pt>
                <c:pt idx="41">
                  <c:v>1.6020129719450764</c:v>
                </c:pt>
                <c:pt idx="42">
                  <c:v>1.7674816780303357</c:v>
                </c:pt>
                <c:pt idx="43">
                  <c:v>1.9365513200893596</c:v>
                </c:pt>
                <c:pt idx="44">
                  <c:v>2.1091110118837921</c:v>
                </c:pt>
                <c:pt idx="45">
                  <c:v>2.2846588295391186</c:v>
                </c:pt>
                <c:pt idx="46">
                  <c:v>2.4631083760828032</c:v>
                </c:pt>
                <c:pt idx="47">
                  <c:v>2.6439437427609613</c:v>
                </c:pt>
                <c:pt idx="48">
                  <c:v>2.826871128507356</c:v>
                </c:pt>
                <c:pt idx="49">
                  <c:v>3.0120051645749117</c:v>
                </c:pt>
                <c:pt idx="50">
                  <c:v>3.1989474112496707</c:v>
                </c:pt>
                <c:pt idx="51">
                  <c:v>3.387216808497036</c:v>
                </c:pt>
                <c:pt idx="52">
                  <c:v>3.5564990005782944</c:v>
                </c:pt>
                <c:pt idx="53">
                  <c:v>3.7087187961731862</c:v>
                </c:pt>
                <c:pt idx="54">
                  <c:v>3.8457174588393013</c:v>
                </c:pt>
                <c:pt idx="55">
                  <c:v>3.968769124958953</c:v>
                </c:pt>
                <c:pt idx="56">
                  <c:v>4.0795399938854793</c:v>
                </c:pt>
                <c:pt idx="57">
                  <c:v>4.1791416931289946</c:v>
                </c:pt>
                <c:pt idx="58">
                  <c:v>4.2688609708660348</c:v>
                </c:pt>
                <c:pt idx="59">
                  <c:v>4.3494134310283918</c:v>
                </c:pt>
                <c:pt idx="60">
                  <c:v>4.4219558552431089</c:v>
                </c:pt>
                <c:pt idx="61">
                  <c:v>4.4870904330055206</c:v>
                </c:pt>
                <c:pt idx="62">
                  <c:v>4.5457668736935331</c:v>
                </c:pt>
                <c:pt idx="63">
                  <c:v>4.5983124590183246</c:v>
                </c:pt>
                <c:pt idx="64">
                  <c:v>4.6456145580033015</c:v>
                </c:pt>
                <c:pt idx="65">
                  <c:v>4.6879898612807906</c:v>
                </c:pt>
                <c:pt idx="66">
                  <c:v>4.7263195989864704</c:v>
                </c:pt>
                <c:pt idx="67">
                  <c:v>4.7606605203495915</c:v>
                </c:pt>
                <c:pt idx="68">
                  <c:v>4.7915687670252654</c:v>
                </c:pt>
                <c:pt idx="69">
                  <c:v>4.8190259128042108</c:v>
                </c:pt>
                <c:pt idx="70">
                  <c:v>4.843593880903617</c:v>
                </c:pt>
                <c:pt idx="71">
                  <c:v>4.8657631977514022</c:v>
                </c:pt>
                <c:pt idx="72">
                  <c:v>4.8855367256860918</c:v>
                </c:pt>
                <c:pt idx="73">
                  <c:v>4.9033915751342789</c:v>
                </c:pt>
                <c:pt idx="74">
                  <c:v>4.9193485684256641</c:v>
                </c:pt>
                <c:pt idx="75">
                  <c:v>4.9338015259228252</c:v>
                </c:pt>
                <c:pt idx="76">
                  <c:v>4.9468318323490328</c:v>
                </c:pt>
                <c:pt idx="77">
                  <c:v>4.9788129835604478</c:v>
                </c:pt>
                <c:pt idx="78">
                  <c:v>5.0280561907011991</c:v>
                </c:pt>
                <c:pt idx="79">
                  <c:v>5.0923106046095219</c:v>
                </c:pt>
                <c:pt idx="80">
                  <c:v>5.1705558504511764</c:v>
                </c:pt>
                <c:pt idx="81">
                  <c:v>5.261401059079029</c:v>
                </c:pt>
                <c:pt idx="82">
                  <c:v>5.3634172901489485</c:v>
                </c:pt>
                <c:pt idx="83">
                  <c:v>5.4754803752627472</c:v>
                </c:pt>
                <c:pt idx="84">
                  <c:v>5.596691261870073</c:v>
                </c:pt>
                <c:pt idx="85">
                  <c:v>5.7262035962463216</c:v>
                </c:pt>
                <c:pt idx="86">
                  <c:v>5.8629139817578313</c:v>
                </c:pt>
                <c:pt idx="87">
                  <c:v>6.0061135615448382</c:v>
                </c:pt>
                <c:pt idx="88">
                  <c:v>6.1556041496575027</c:v>
                </c:pt>
                <c:pt idx="89">
                  <c:v>6.310125269439876</c:v>
                </c:pt>
                <c:pt idx="90">
                  <c:v>6.4694597304981887</c:v>
                </c:pt>
                <c:pt idx="91">
                  <c:v>6.6331313991331067</c:v>
                </c:pt>
                <c:pt idx="92">
                  <c:v>6.8006067274730295</c:v>
                </c:pt>
                <c:pt idx="93">
                  <c:v>6.9718673004882685</c:v>
                </c:pt>
                <c:pt idx="94">
                  <c:v>7.1460763906917606</c:v>
                </c:pt>
                <c:pt idx="95">
                  <c:v>7.3230932157486182</c:v>
                </c:pt>
                <c:pt idx="96">
                  <c:v>7.5027238148805662</c:v>
                </c:pt>
                <c:pt idx="97">
                  <c:v>7.6844177309896535</c:v>
                </c:pt>
                <c:pt idx="98">
                  <c:v>7.8682403862912409</c:v>
                </c:pt>
                <c:pt idx="99">
                  <c:v>8.0535940820254872</c:v>
                </c:pt>
                <c:pt idx="100">
                  <c:v>8.2409515983315504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1-418A-BCBA-7EB40DD3B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v~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方波力!$J$12:$J$112</c:f>
              <c:numCache>
                <c:formatCode>0.000_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</c:v>
                </c:pt>
                <c:pt idx="27">
                  <c:v>0.38</c:v>
                </c:pt>
                <c:pt idx="28">
                  <c:v>0.54200000000000004</c:v>
                </c:pt>
                <c:pt idx="29">
                  <c:v>0.68780000000000008</c:v>
                </c:pt>
                <c:pt idx="30">
                  <c:v>0.81902000000000008</c:v>
                </c:pt>
                <c:pt idx="31">
                  <c:v>0.93711800000000012</c:v>
                </c:pt>
                <c:pt idx="32">
                  <c:v>1.0434062000000002</c:v>
                </c:pt>
                <c:pt idx="33">
                  <c:v>1.1390655800000002</c:v>
                </c:pt>
                <c:pt idx="34">
                  <c:v>1.2251590220000002</c:v>
                </c:pt>
                <c:pt idx="35">
                  <c:v>1.3026431198000001</c:v>
                </c:pt>
                <c:pt idx="36">
                  <c:v>1.3723788078200001</c:v>
                </c:pt>
                <c:pt idx="37">
                  <c:v>1.435140927038</c:v>
                </c:pt>
                <c:pt idx="38">
                  <c:v>1.4916268343342001</c:v>
                </c:pt>
                <c:pt idx="39">
                  <c:v>1.5424641509007802</c:v>
                </c:pt>
                <c:pt idx="40">
                  <c:v>1.5882177358107021</c:v>
                </c:pt>
                <c:pt idx="41">
                  <c:v>1.6293959622296319</c:v>
                </c:pt>
                <c:pt idx="42">
                  <c:v>1.6664563660066687</c:v>
                </c:pt>
                <c:pt idx="43">
                  <c:v>1.6998107294060019</c:v>
                </c:pt>
                <c:pt idx="44">
                  <c:v>1.7298296564654017</c:v>
                </c:pt>
                <c:pt idx="45">
                  <c:v>1.7568466908188616</c:v>
                </c:pt>
                <c:pt idx="46">
                  <c:v>1.7811620217369755</c:v>
                </c:pt>
                <c:pt idx="47">
                  <c:v>1.8030458195632779</c:v>
                </c:pt>
                <c:pt idx="48">
                  <c:v>1.8227412376069501</c:v>
                </c:pt>
                <c:pt idx="49">
                  <c:v>1.8404671138462549</c:v>
                </c:pt>
                <c:pt idx="50">
                  <c:v>1.8564204024616295</c:v>
                </c:pt>
                <c:pt idx="51">
                  <c:v>1.6707783622154666</c:v>
                </c:pt>
                <c:pt idx="52">
                  <c:v>1.50370052599392</c:v>
                </c:pt>
                <c:pt idx="53">
                  <c:v>1.3533304733945279</c:v>
                </c:pt>
                <c:pt idx="54">
                  <c:v>1.2179974260550752</c:v>
                </c:pt>
                <c:pt idx="55">
                  <c:v>1.0961976834495677</c:v>
                </c:pt>
                <c:pt idx="56">
                  <c:v>0.9865779151046109</c:v>
                </c:pt>
                <c:pt idx="57">
                  <c:v>0.88792012359414985</c:v>
                </c:pt>
                <c:pt idx="58">
                  <c:v>0.79912811123473493</c:v>
                </c:pt>
                <c:pt idx="59">
                  <c:v>0.71921530011126145</c:v>
                </c:pt>
                <c:pt idx="60">
                  <c:v>0.64729377010013533</c:v>
                </c:pt>
                <c:pt idx="61">
                  <c:v>0.58256439309012187</c:v>
                </c:pt>
                <c:pt idx="62">
                  <c:v>0.52430795378110973</c:v>
                </c:pt>
                <c:pt idx="63">
                  <c:v>0.47187715840299876</c:v>
                </c:pt>
                <c:pt idx="64">
                  <c:v>0.42468944256269892</c:v>
                </c:pt>
                <c:pt idx="65">
                  <c:v>0.38222049830642901</c:v>
                </c:pt>
                <c:pt idx="66">
                  <c:v>0.34399844847578614</c:v>
                </c:pt>
                <c:pt idx="67">
                  <c:v>0.30959860362820751</c:v>
                </c:pt>
                <c:pt idx="68">
                  <c:v>0.27863874326538679</c:v>
                </c:pt>
                <c:pt idx="69">
                  <c:v>0.25077486893884809</c:v>
                </c:pt>
                <c:pt idx="70">
                  <c:v>0.22569738204496329</c:v>
                </c:pt>
                <c:pt idx="71">
                  <c:v>0.20312764384046697</c:v>
                </c:pt>
                <c:pt idx="72">
                  <c:v>0.18281487945642028</c:v>
                </c:pt>
                <c:pt idx="73">
                  <c:v>0.16453339151077825</c:v>
                </c:pt>
                <c:pt idx="74">
                  <c:v>0.14808005235970043</c:v>
                </c:pt>
                <c:pt idx="75">
                  <c:v>0.13327204712373039</c:v>
                </c:pt>
                <c:pt idx="76">
                  <c:v>0.31994484241135734</c:v>
                </c:pt>
                <c:pt idx="77">
                  <c:v>0.48795035817022164</c:v>
                </c:pt>
                <c:pt idx="78">
                  <c:v>0.6391553223531995</c:v>
                </c:pt>
                <c:pt idx="79">
                  <c:v>0.77523979011787958</c:v>
                </c:pt>
                <c:pt idx="80">
                  <c:v>0.89771581110609167</c:v>
                </c:pt>
                <c:pt idx="81">
                  <c:v>1.0079442299954826</c:v>
                </c:pt>
                <c:pt idx="82">
                  <c:v>1.1071498069959345</c:v>
                </c:pt>
                <c:pt idx="83">
                  <c:v>1.1964348262963411</c:v>
                </c:pt>
                <c:pt idx="84">
                  <c:v>1.2767913436667071</c:v>
                </c:pt>
                <c:pt idx="85">
                  <c:v>1.3491122093000363</c:v>
                </c:pt>
                <c:pt idx="86">
                  <c:v>1.4142009883700326</c:v>
                </c:pt>
                <c:pt idx="87">
                  <c:v>1.4727808895330294</c:v>
                </c:pt>
                <c:pt idx="88">
                  <c:v>1.5255028005797264</c:v>
                </c:pt>
                <c:pt idx="89">
                  <c:v>1.5729525205217538</c:v>
                </c:pt>
                <c:pt idx="90">
                  <c:v>1.6156572684695785</c:v>
                </c:pt>
                <c:pt idx="91">
                  <c:v>1.6540915416226205</c:v>
                </c:pt>
                <c:pt idx="92">
                  <c:v>1.6886823874603585</c:v>
                </c:pt>
                <c:pt idx="93">
                  <c:v>1.7198141487143226</c:v>
                </c:pt>
                <c:pt idx="94">
                  <c:v>1.7478327338428903</c:v>
                </c:pt>
                <c:pt idx="95">
                  <c:v>1.7730494604586013</c:v>
                </c:pt>
                <c:pt idx="96">
                  <c:v>1.7957445144127413</c:v>
                </c:pt>
                <c:pt idx="97">
                  <c:v>1.8161700629714672</c:v>
                </c:pt>
                <c:pt idx="98">
                  <c:v>1.8345530566743204</c:v>
                </c:pt>
                <c:pt idx="99">
                  <c:v>1.8510977510068884</c:v>
                </c:pt>
                <c:pt idx="100">
                  <c:v>1.8659879759061997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9-485E-AC01-138077AB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方波力!$K$12:$K$112</c:f>
              <c:numCache>
                <c:formatCode>0.000_ </c:formatCode>
                <c:ptCount val="101"/>
                <c:pt idx="0">
                  <c:v>9.5562778200098709E-3</c:v>
                </c:pt>
                <c:pt idx="1">
                  <c:v>1.0173595353968497E-2</c:v>
                </c:pt>
                <c:pt idx="2">
                  <c:v>6.9473262070013997E-3</c:v>
                </c:pt>
                <c:pt idx="3">
                  <c:v>8.4889911422076896E-3</c:v>
                </c:pt>
                <c:pt idx="4">
                  <c:v>7.9896600756189963E-3</c:v>
                </c:pt>
                <c:pt idx="5">
                  <c:v>6.7993354462994454E-3</c:v>
                </c:pt>
                <c:pt idx="6">
                  <c:v>7.408168007891994E-3</c:v>
                </c:pt>
                <c:pt idx="7">
                  <c:v>7.9570926776284835E-3</c:v>
                </c:pt>
                <c:pt idx="8">
                  <c:v>7.8521629845500068E-3</c:v>
                </c:pt>
                <c:pt idx="9">
                  <c:v>6.3236256717151976E-3</c:v>
                </c:pt>
                <c:pt idx="10">
                  <c:v>6.1002299889176721E-3</c:v>
                </c:pt>
                <c:pt idx="11">
                  <c:v>5.617301663376901E-3</c:v>
                </c:pt>
                <c:pt idx="12">
                  <c:v>5.7098734308481461E-3</c:v>
                </c:pt>
                <c:pt idx="13">
                  <c:v>6.1688239781876363E-3</c:v>
                </c:pt>
                <c:pt idx="14">
                  <c:v>4.307879061246387E-3</c:v>
                </c:pt>
                <c:pt idx="15">
                  <c:v>5.0405074206156791E-3</c:v>
                </c:pt>
                <c:pt idx="16">
                  <c:v>5.5026828556214574E-3</c:v>
                </c:pt>
                <c:pt idx="17">
                  <c:v>4.0701146126715573E-3</c:v>
                </c:pt>
                <c:pt idx="18">
                  <c:v>3.0880774484107866E-3</c:v>
                </c:pt>
                <c:pt idx="19">
                  <c:v>4.8157114177740119E-3</c:v>
                </c:pt>
                <c:pt idx="20">
                  <c:v>6.2082676742788107E-3</c:v>
                </c:pt>
                <c:pt idx="21">
                  <c:v>3.2096002870519499E-3</c:v>
                </c:pt>
                <c:pt idx="22">
                  <c:v>3.7043847038574973E-3</c:v>
                </c:pt>
                <c:pt idx="23">
                  <c:v>1.8980911858759286E-3</c:v>
                </c:pt>
                <c:pt idx="24">
                  <c:v>4.4439643994575867E-3</c:v>
                </c:pt>
                <c:pt idx="25">
                  <c:v>5.4819764036746045E-3</c:v>
                </c:pt>
                <c:pt idx="26">
                  <c:v>8.8114699235244381E-3</c:v>
                </c:pt>
                <c:pt idx="27">
                  <c:v>3.2231198948477834E-2</c:v>
                </c:pt>
                <c:pt idx="28">
                  <c:v>7.2856562650157247E-2</c:v>
                </c:pt>
                <c:pt idx="29">
                  <c:v>0.13159065407495679</c:v>
                </c:pt>
                <c:pt idx="30">
                  <c:v>0.20286896170170837</c:v>
                </c:pt>
                <c:pt idx="31">
                  <c:v>0.2884794419517937</c:v>
                </c:pt>
                <c:pt idx="32">
                  <c:v>0.38458448441287768</c:v>
                </c:pt>
                <c:pt idx="33">
                  <c:v>0.49312317270794348</c:v>
                </c:pt>
                <c:pt idx="34">
                  <c:v>0.61097220736218116</c:v>
                </c:pt>
                <c:pt idx="35">
                  <c:v>0.73716995444300915</c:v>
                </c:pt>
                <c:pt idx="36">
                  <c:v>0.8693505588531979</c:v>
                </c:pt>
                <c:pt idx="37">
                  <c:v>1.0112151274280525</c:v>
                </c:pt>
                <c:pt idx="38">
                  <c:v>1.1573163863272657</c:v>
                </c:pt>
                <c:pt idx="39">
                  <c:v>1.3081069360804074</c:v>
                </c:pt>
                <c:pt idx="40">
                  <c:v>1.465774660895828</c:v>
                </c:pt>
                <c:pt idx="41">
                  <c:v>1.6273040705680375</c:v>
                </c:pt>
                <c:pt idx="42">
                  <c:v>1.7917217326139045</c:v>
                </c:pt>
                <c:pt idx="43">
                  <c:v>1.9623375086276851</c:v>
                </c:pt>
                <c:pt idx="44">
                  <c:v>2.134759531971655</c:v>
                </c:pt>
                <c:pt idx="45">
                  <c:v>2.3123076041571013</c:v>
                </c:pt>
                <c:pt idx="46">
                  <c:v>2.4903000211274104</c:v>
                </c:pt>
                <c:pt idx="47">
                  <c:v>2.6701717806616316</c:v>
                </c:pt>
                <c:pt idx="48">
                  <c:v>2.8554702515759613</c:v>
                </c:pt>
                <c:pt idx="49">
                  <c:v>3.0409605174762468</c:v>
                </c:pt>
                <c:pt idx="50">
                  <c:v>3.2252209812616939</c:v>
                </c:pt>
                <c:pt idx="51">
                  <c:v>3.4092603670941553</c:v>
                </c:pt>
                <c:pt idx="52">
                  <c:v>3.5749964305332917</c:v>
                </c:pt>
                <c:pt idx="53">
                  <c:v>3.725374949439809</c:v>
                </c:pt>
                <c:pt idx="54">
                  <c:v>3.8582366939807442</c:v>
                </c:pt>
                <c:pt idx="55">
                  <c:v>3.9802801307746463</c:v>
                </c:pt>
                <c:pt idx="56">
                  <c:v>4.0889790712160261</c:v>
                </c:pt>
                <c:pt idx="57">
                  <c:v>4.1884143469052457</c:v>
                </c:pt>
                <c:pt idx="58">
                  <c:v>4.2752574612548688</c:v>
                </c:pt>
                <c:pt idx="59">
                  <c:v>4.3556223730643024</c:v>
                </c:pt>
                <c:pt idx="60">
                  <c:v>4.4260078627670936</c:v>
                </c:pt>
                <c:pt idx="61">
                  <c:v>4.4912904467955244</c:v>
                </c:pt>
                <c:pt idx="62">
                  <c:v>4.5469147731603385</c:v>
                </c:pt>
                <c:pt idx="63">
                  <c:v>4.5994562904650946</c:v>
                </c:pt>
                <c:pt idx="64">
                  <c:v>4.6446781482154957</c:v>
                </c:pt>
                <c:pt idx="65">
                  <c:v>4.6890667400311621</c:v>
                </c:pt>
                <c:pt idx="66">
                  <c:v>4.725730364141894</c:v>
                </c:pt>
                <c:pt idx="67">
                  <c:v>4.7601443834781181</c:v>
                </c:pt>
                <c:pt idx="68">
                  <c:v>4.7875014815493344</c:v>
                </c:pt>
                <c:pt idx="69">
                  <c:v>4.8139307248594232</c:v>
                </c:pt>
                <c:pt idx="70">
                  <c:v>4.8395896673365053</c:v>
                </c:pt>
                <c:pt idx="71">
                  <c:v>4.8603708332578321</c:v>
                </c:pt>
                <c:pt idx="72">
                  <c:v>4.8812703407115405</c:v>
                </c:pt>
                <c:pt idx="73">
                  <c:v>4.8984281165373504</c:v>
                </c:pt>
                <c:pt idx="74">
                  <c:v>4.9157980910375709</c:v>
                </c:pt>
                <c:pt idx="75">
                  <c:v>4.9308325430611699</c:v>
                </c:pt>
                <c:pt idx="76">
                  <c:v>4.9466985020518273</c:v>
                </c:pt>
                <c:pt idx="77">
                  <c:v>4.9832946967977367</c:v>
                </c:pt>
                <c:pt idx="78">
                  <c:v>5.0314450074312269</c:v>
                </c:pt>
                <c:pt idx="79">
                  <c:v>5.0995232729081899</c:v>
                </c:pt>
                <c:pt idx="80">
                  <c:v>5.1812921256236111</c:v>
                </c:pt>
                <c:pt idx="81">
                  <c:v>5.2736191397827437</c:v>
                </c:pt>
                <c:pt idx="82">
                  <c:v>5.3768983342910053</c:v>
                </c:pt>
                <c:pt idx="83">
                  <c:v>5.4911544150396612</c:v>
                </c:pt>
                <c:pt idx="84">
                  <c:v>5.6150232619658507</c:v>
                </c:pt>
                <c:pt idx="85">
                  <c:v>5.7441952420613855</c:v>
                </c:pt>
                <c:pt idx="86">
                  <c:v>5.8807087912578648</c:v>
                </c:pt>
                <c:pt idx="87">
                  <c:v>6.0282385531384524</c:v>
                </c:pt>
                <c:pt idx="88">
                  <c:v>6.1753125469015133</c:v>
                </c:pt>
                <c:pt idx="89">
                  <c:v>6.3305173595012452</c:v>
                </c:pt>
                <c:pt idx="90">
                  <c:v>6.4905191483777926</c:v>
                </c:pt>
                <c:pt idx="91">
                  <c:v>6.6537931409097162</c:v>
                </c:pt>
                <c:pt idx="92">
                  <c:v>6.8245300701650562</c:v>
                </c:pt>
                <c:pt idx="93">
                  <c:v>6.9941440538088679</c:v>
                </c:pt>
                <c:pt idx="94">
                  <c:v>7.1684119074174477</c:v>
                </c:pt>
                <c:pt idx="95">
                  <c:v>7.3463497466094951</c:v>
                </c:pt>
                <c:pt idx="96">
                  <c:v>7.5239184615586989</c:v>
                </c:pt>
                <c:pt idx="97">
                  <c:v>7.706474221034056</c:v>
                </c:pt>
                <c:pt idx="98">
                  <c:v>7.8872242869593867</c:v>
                </c:pt>
                <c:pt idx="99">
                  <c:v>8.0760714940792333</c:v>
                </c:pt>
                <c:pt idx="100">
                  <c:v>8.2633884647856259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9-4C12-AC2B-DB34F6CF6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v-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方波力!$L$12:$L$112</c:f>
              <c:numCache>
                <c:formatCode>0.000_ </c:formatCode>
                <c:ptCount val="101"/>
                <c:pt idx="0">
                  <c:v>0</c:v>
                </c:pt>
                <c:pt idx="1">
                  <c:v>6.1731753395862638E-4</c:v>
                </c:pt>
                <c:pt idx="2">
                  <c:v>-2.6706833664043332E-3</c:v>
                </c:pt>
                <c:pt idx="3">
                  <c:v>-8.6195009455761001E-4</c:v>
                </c:pt>
                <c:pt idx="4">
                  <c:v>-1.2750861516905429E-3</c:v>
                </c:pt>
                <c:pt idx="5">
                  <c:v>-2.3379021658410386E-3</c:v>
                </c:pt>
                <c:pt idx="6">
                  <c:v>-1.4952793876643852E-3</c:v>
                </c:pt>
                <c:pt idx="7">
                  <c:v>-7.9682677916145838E-4</c:v>
                </c:pt>
                <c:pt idx="8">
                  <c:v>-8.2207379432378859E-4</c:v>
                </c:pt>
                <c:pt idx="9">
                  <c:v>-2.2684037277262187E-3</c:v>
                </c:pt>
                <c:pt idx="10">
                  <c:v>-2.2649590377511221E-3</c:v>
                </c:pt>
                <c:pt idx="11">
                  <c:v>-2.5213914595167805E-3</c:v>
                </c:pt>
                <c:pt idx="12">
                  <c:v>-2.176680546093857E-3</c:v>
                </c:pt>
                <c:pt idx="13">
                  <c:v>-1.5000619441449825E-3</c:v>
                </c:pt>
                <c:pt idx="14">
                  <c:v>-3.2110006666717329E-3</c:v>
                </c:pt>
                <c:pt idx="15">
                  <c:v>-2.1572722406352678E-3</c:v>
                </c:pt>
                <c:pt idx="16">
                  <c:v>-1.4793695815659626E-3</c:v>
                </c:pt>
                <c:pt idx="17">
                  <c:v>-2.764000866359266E-3</c:v>
                </c:pt>
                <c:pt idx="18">
                  <c:v>-3.4696379439841107E-3</c:v>
                </c:pt>
                <c:pt idx="19">
                  <c:v>-1.3950401802224747E-3</c:v>
                </c:pt>
                <c:pt idx="20">
                  <c:v>1.3702009430457214E-4</c:v>
                </c:pt>
                <c:pt idx="21">
                  <c:v>-2.8753493023527463E-3</c:v>
                </c:pt>
                <c:pt idx="22">
                  <c:v>-2.0930299553119239E-3</c:v>
                </c:pt>
                <c:pt idx="23">
                  <c:v>-3.6900204777623007E-3</c:v>
                </c:pt>
                <c:pt idx="24">
                  <c:v>-7.751452164044126E-4</c:v>
                </c:pt>
                <c:pt idx="25">
                  <c:v>3.4038130945304718E-4</c:v>
                </c:pt>
                <c:pt idx="26">
                  <c:v>0.20363583669835758</c:v>
                </c:pt>
                <c:pt idx="27">
                  <c:v>0.38669198205347521</c:v>
                </c:pt>
                <c:pt idx="28">
                  <c:v>0.55064814754980718</c:v>
                </c:pt>
                <c:pt idx="29">
                  <c:v>0.70011742421962597</c:v>
                </c:pt>
                <c:pt idx="30">
                  <c:v>0.83260398942441505</c:v>
                </c:pt>
                <c:pt idx="31">
                  <c:v>0.95305207073205889</c:v>
                </c:pt>
                <c:pt idx="32">
                  <c:v>1.0601401061199369</c:v>
                </c:pt>
                <c:pt idx="33">
                  <c:v>1.1583241638030091</c:v>
                </c:pt>
                <c:pt idx="34">
                  <c:v>1.2464342240769457</c:v>
                </c:pt>
                <c:pt idx="35">
                  <c:v>1.3254726465500792</c:v>
                </c:pt>
                <c:pt idx="36">
                  <c:v>1.3948416743252601</c:v>
                </c:pt>
                <c:pt idx="37">
                  <c:v>1.4599841946855885</c:v>
                </c:pt>
                <c:pt idx="38">
                  <c:v>1.5165729414124429</c:v>
                </c:pt>
                <c:pt idx="39">
                  <c:v>1.5665435135909203</c:v>
                </c:pt>
                <c:pt idx="40">
                  <c:v>1.6133104719571707</c:v>
                </c:pt>
                <c:pt idx="41">
                  <c:v>1.654687060852593</c:v>
                </c:pt>
                <c:pt idx="42">
                  <c:v>1.6906964205902375</c:v>
                </c:pt>
                <c:pt idx="43">
                  <c:v>1.7255969179443273</c:v>
                </c:pt>
                <c:pt idx="44">
                  <c:v>1.7554781765532643</c:v>
                </c:pt>
                <c:pt idx="45">
                  <c:v>1.7844954654368443</c:v>
                </c:pt>
                <c:pt idx="46">
                  <c:v>1.8083536667815827</c:v>
                </c:pt>
                <c:pt idx="47">
                  <c:v>1.829273857463948</c:v>
                </c:pt>
                <c:pt idx="48">
                  <c:v>1.8513403606755556</c:v>
                </c:pt>
                <c:pt idx="49">
                  <c:v>1.8694224667475903</c:v>
                </c:pt>
                <c:pt idx="50">
                  <c:v>1.8826939724736527</c:v>
                </c:pt>
                <c:pt idx="51">
                  <c:v>1.6928219208125861</c:v>
                </c:pt>
                <c:pt idx="52">
                  <c:v>1.5221979559489174</c:v>
                </c:pt>
                <c:pt idx="53">
                  <c:v>1.3699866266611507</c:v>
                </c:pt>
                <c:pt idx="54">
                  <c:v>1.2305166611965184</c:v>
                </c:pt>
                <c:pt idx="55">
                  <c:v>1.107708689265261</c:v>
                </c:pt>
                <c:pt idx="56">
                  <c:v>0.99601699243515784</c:v>
                </c:pt>
                <c:pt idx="57">
                  <c:v>0.89719277737040071</c:v>
                </c:pt>
                <c:pt idx="58">
                  <c:v>0.80552460162356898</c:v>
                </c:pt>
                <c:pt idx="59">
                  <c:v>0.72542424214717216</c:v>
                </c:pt>
                <c:pt idx="60">
                  <c:v>0.65134577762411972</c:v>
                </c:pt>
                <c:pt idx="61">
                  <c:v>0.58676440688012588</c:v>
                </c:pt>
                <c:pt idx="62">
                  <c:v>0.52545585324791533</c:v>
                </c:pt>
                <c:pt idx="63">
                  <c:v>0.47302098984976887</c:v>
                </c:pt>
                <c:pt idx="64">
                  <c:v>0.42375303277489351</c:v>
                </c:pt>
                <c:pt idx="65">
                  <c:v>0.38329737705680017</c:v>
                </c:pt>
                <c:pt idx="66">
                  <c:v>0.34340921363120946</c:v>
                </c:pt>
                <c:pt idx="67">
                  <c:v>0.30908246675673406</c:v>
                </c:pt>
                <c:pt idx="68">
                  <c:v>0.27457145778945602</c:v>
                </c:pt>
                <c:pt idx="69">
                  <c:v>0.24567968099406023</c:v>
                </c:pt>
                <c:pt idx="70">
                  <c:v>0.22169316847785189</c:v>
                </c:pt>
                <c:pt idx="71">
                  <c:v>0.19773527934689675</c:v>
                </c:pt>
                <c:pt idx="72">
                  <c:v>0.17854849448186888</c:v>
                </c:pt>
                <c:pt idx="73">
                  <c:v>0.1595699329138496</c:v>
                </c:pt>
                <c:pt idx="74">
                  <c:v>0.14452957497160748</c:v>
                </c:pt>
                <c:pt idx="75">
                  <c:v>0.13030306426207477</c:v>
                </c:pt>
                <c:pt idx="76">
                  <c:v>0.31981151211415199</c:v>
                </c:pt>
                <c:pt idx="77">
                  <c:v>0.49243207140751027</c:v>
                </c:pt>
                <c:pt idx="78">
                  <c:v>0.64254413908322727</c:v>
                </c:pt>
                <c:pt idx="79">
                  <c:v>0.78245245841654731</c:v>
                </c:pt>
                <c:pt idx="80">
                  <c:v>0.90845208627852658</c:v>
                </c:pt>
                <c:pt idx="81">
                  <c:v>1.0201623106991975</c:v>
                </c:pt>
                <c:pt idx="82">
                  <c:v>1.1206308511379912</c:v>
                </c:pt>
                <c:pt idx="83">
                  <c:v>1.2121088660732546</c:v>
                </c:pt>
                <c:pt idx="84">
                  <c:v>1.2951233437624845</c:v>
                </c:pt>
                <c:pt idx="85">
                  <c:v>1.3671038551151</c:v>
                </c:pt>
                <c:pt idx="86">
                  <c:v>1.4319957978700661</c:v>
                </c:pt>
                <c:pt idx="87">
                  <c:v>1.4949058811266434</c:v>
                </c:pt>
                <c:pt idx="88">
                  <c:v>1.5452111978237371</c:v>
                </c:pt>
                <c:pt idx="89">
                  <c:v>1.593344610583123</c:v>
                </c:pt>
                <c:pt idx="90">
                  <c:v>1.6367166863491822</c:v>
                </c:pt>
                <c:pt idx="91">
                  <c:v>1.67475328339923</c:v>
                </c:pt>
                <c:pt idx="92">
                  <c:v>1.7126057301523854</c:v>
                </c:pt>
                <c:pt idx="93">
                  <c:v>1.7420909020349218</c:v>
                </c:pt>
                <c:pt idx="94">
                  <c:v>1.7701682505685776</c:v>
                </c:pt>
                <c:pt idx="95">
                  <c:v>1.7963059913194781</c:v>
                </c:pt>
                <c:pt idx="96">
                  <c:v>1.8169391610908738</c:v>
                </c:pt>
                <c:pt idx="97">
                  <c:v>1.8382265530158695</c:v>
                </c:pt>
                <c:pt idx="98">
                  <c:v>1.853536957342466</c:v>
                </c:pt>
                <c:pt idx="99">
                  <c:v>1.8735751630606348</c:v>
                </c:pt>
                <c:pt idx="100">
                  <c:v>1.8884248423602745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5-4726-BE6F-A5623B8E6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09280"/>
        <c:axId val="161616480"/>
      </c:lineChart>
      <c:catAx>
        <c:axId val="1616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16480"/>
        <c:crosses val="autoZero"/>
        <c:auto val="1"/>
        <c:lblAlgn val="ctr"/>
        <c:lblOffset val="100"/>
        <c:noMultiLvlLbl val="0"/>
      </c:catAx>
      <c:valAx>
        <c:axId val="1616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092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18</xdr:col>
      <xdr:colOff>819429</xdr:colOff>
      <xdr:row>17</xdr:row>
      <xdr:rowOff>2000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C5E273A9-91E5-4996-856D-4A44CE474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819429</xdr:colOff>
      <xdr:row>35</xdr:row>
      <xdr:rowOff>2000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033C0885-4B83-4F5A-ABDF-1B44B53AE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18</xdr:col>
      <xdr:colOff>819429</xdr:colOff>
      <xdr:row>53</xdr:row>
      <xdr:rowOff>2000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7EC48AB1-89F0-4E96-8E26-38A515C17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819429</xdr:colOff>
      <xdr:row>71</xdr:row>
      <xdr:rowOff>2000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31B49AC1-811A-4456-BA33-05CA7B402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18</xdr:col>
      <xdr:colOff>819429</xdr:colOff>
      <xdr:row>89</xdr:row>
      <xdr:rowOff>2000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3EED4F27-426B-4CCF-A26E-7293C9F75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25</xdr:col>
      <xdr:colOff>819429</xdr:colOff>
      <xdr:row>17</xdr:row>
      <xdr:rowOff>2000</xdr:rowOff>
    </xdr:to>
    <xdr:graphicFrame macro="">
      <xdr:nvGraphicFramePr>
        <xdr:cNvPr id="42" name="图表 41">
          <a:extLst>
            <a:ext uri="{FF2B5EF4-FFF2-40B4-BE49-F238E27FC236}">
              <a16:creationId xmlns:a16="http://schemas.microsoft.com/office/drawing/2014/main" id="{7AA40E56-4E51-4485-8D79-8D0DB2C44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819429</xdr:colOff>
      <xdr:row>35</xdr:row>
      <xdr:rowOff>2000</xdr:rowOff>
    </xdr:to>
    <xdr:graphicFrame macro="">
      <xdr:nvGraphicFramePr>
        <xdr:cNvPr id="43" name="图表 42">
          <a:extLst>
            <a:ext uri="{FF2B5EF4-FFF2-40B4-BE49-F238E27FC236}">
              <a16:creationId xmlns:a16="http://schemas.microsoft.com/office/drawing/2014/main" id="{660B5FE0-D5EC-4590-8298-A38465F9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36</xdr:row>
      <xdr:rowOff>0</xdr:rowOff>
    </xdr:from>
    <xdr:to>
      <xdr:col>25</xdr:col>
      <xdr:colOff>819429</xdr:colOff>
      <xdr:row>53</xdr:row>
      <xdr:rowOff>2000</xdr:rowOff>
    </xdr:to>
    <xdr:graphicFrame macro="">
      <xdr:nvGraphicFramePr>
        <xdr:cNvPr id="44" name="图表 43">
          <a:extLst>
            <a:ext uri="{FF2B5EF4-FFF2-40B4-BE49-F238E27FC236}">
              <a16:creationId xmlns:a16="http://schemas.microsoft.com/office/drawing/2014/main" id="{22BD8234-AFFA-4E2B-905B-84A4BF359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54</xdr:row>
      <xdr:rowOff>0</xdr:rowOff>
    </xdr:from>
    <xdr:to>
      <xdr:col>25</xdr:col>
      <xdr:colOff>819429</xdr:colOff>
      <xdr:row>71</xdr:row>
      <xdr:rowOff>2000</xdr:rowOff>
    </xdr:to>
    <xdr:graphicFrame macro="">
      <xdr:nvGraphicFramePr>
        <xdr:cNvPr id="45" name="图表 44">
          <a:extLst>
            <a:ext uri="{FF2B5EF4-FFF2-40B4-BE49-F238E27FC236}">
              <a16:creationId xmlns:a16="http://schemas.microsoft.com/office/drawing/2014/main" id="{C7174DF2-8699-44C1-AF46-C29FF1C81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72</xdr:row>
      <xdr:rowOff>0</xdr:rowOff>
    </xdr:from>
    <xdr:to>
      <xdr:col>25</xdr:col>
      <xdr:colOff>819429</xdr:colOff>
      <xdr:row>89</xdr:row>
      <xdr:rowOff>2000</xdr:rowOff>
    </xdr:to>
    <xdr:graphicFrame macro="">
      <xdr:nvGraphicFramePr>
        <xdr:cNvPr id="46" name="图表 45">
          <a:extLst>
            <a:ext uri="{FF2B5EF4-FFF2-40B4-BE49-F238E27FC236}">
              <a16:creationId xmlns:a16="http://schemas.microsoft.com/office/drawing/2014/main" id="{C7B7C767-F9A6-4209-AD79-0479ED365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18</xdr:col>
      <xdr:colOff>819429</xdr:colOff>
      <xdr:row>17</xdr:row>
      <xdr:rowOff>2000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213574-EAFB-4A35-90FF-7D18D097A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819429</xdr:colOff>
      <xdr:row>35</xdr:row>
      <xdr:rowOff>2000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C328820-90A8-42C7-BA0C-401463E4A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18</xdr:col>
      <xdr:colOff>819429</xdr:colOff>
      <xdr:row>53</xdr:row>
      <xdr:rowOff>2000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FE39BD5-DAE3-4600-8591-DADDB5BA0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819429</xdr:colOff>
      <xdr:row>71</xdr:row>
      <xdr:rowOff>2000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796FF63-B0E3-4C8C-BB55-78331F9EA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18</xdr:col>
      <xdr:colOff>819429</xdr:colOff>
      <xdr:row>89</xdr:row>
      <xdr:rowOff>2000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29EB81F-2349-44DE-B3F8-445219E19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25</xdr:col>
      <xdr:colOff>819429</xdr:colOff>
      <xdr:row>17</xdr:row>
      <xdr:rowOff>2000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19F79D3-6C64-49BA-BE0F-6240F260C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819429</xdr:colOff>
      <xdr:row>35</xdr:row>
      <xdr:rowOff>2000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BBFBF60-B35D-42AE-ACD9-66A4108D0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36</xdr:row>
      <xdr:rowOff>0</xdr:rowOff>
    </xdr:from>
    <xdr:to>
      <xdr:col>25</xdr:col>
      <xdr:colOff>819429</xdr:colOff>
      <xdr:row>53</xdr:row>
      <xdr:rowOff>2000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7E7C748-1734-4F5C-A318-2916B4B7B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54</xdr:row>
      <xdr:rowOff>0</xdr:rowOff>
    </xdr:from>
    <xdr:to>
      <xdr:col>25</xdr:col>
      <xdr:colOff>819429</xdr:colOff>
      <xdr:row>71</xdr:row>
      <xdr:rowOff>2000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40C0250-4BC1-40A9-8D19-7736402F4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72</xdr:row>
      <xdr:rowOff>0</xdr:rowOff>
    </xdr:from>
    <xdr:to>
      <xdr:col>25</xdr:col>
      <xdr:colOff>819429</xdr:colOff>
      <xdr:row>89</xdr:row>
      <xdr:rowOff>2000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5C90EFC-FA3B-434A-8917-BCFE27158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18</xdr:col>
      <xdr:colOff>819429</xdr:colOff>
      <xdr:row>17</xdr:row>
      <xdr:rowOff>2000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D76E28-6566-4F83-A059-EBE2771CA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819429</xdr:colOff>
      <xdr:row>35</xdr:row>
      <xdr:rowOff>2000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68D2274-80AE-427F-BE8B-7AF564647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18</xdr:col>
      <xdr:colOff>819429</xdr:colOff>
      <xdr:row>53</xdr:row>
      <xdr:rowOff>2000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325C54-E65A-410B-90AB-9AB4B32FD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819429</xdr:colOff>
      <xdr:row>71</xdr:row>
      <xdr:rowOff>2000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A486D85-231F-42D2-9F73-B06BABCE9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18</xdr:col>
      <xdr:colOff>819429</xdr:colOff>
      <xdr:row>89</xdr:row>
      <xdr:rowOff>2000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6C47B92-1402-482B-AD02-7FDB508DB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25</xdr:col>
      <xdr:colOff>819429</xdr:colOff>
      <xdr:row>17</xdr:row>
      <xdr:rowOff>2000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9ED80BF-0D78-4B60-9B13-820E5B514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819429</xdr:colOff>
      <xdr:row>35</xdr:row>
      <xdr:rowOff>2000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37A125E-4037-4624-9376-ABD2E72BA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36</xdr:row>
      <xdr:rowOff>0</xdr:rowOff>
    </xdr:from>
    <xdr:to>
      <xdr:col>25</xdr:col>
      <xdr:colOff>819429</xdr:colOff>
      <xdr:row>53</xdr:row>
      <xdr:rowOff>2000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8B86E80-4EFF-4256-AA5E-7E07DBAE6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54</xdr:row>
      <xdr:rowOff>0</xdr:rowOff>
    </xdr:from>
    <xdr:to>
      <xdr:col>25</xdr:col>
      <xdr:colOff>819429</xdr:colOff>
      <xdr:row>71</xdr:row>
      <xdr:rowOff>2000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6B046B2-80D6-498C-AD0B-8300775BE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72</xdr:row>
      <xdr:rowOff>0</xdr:rowOff>
    </xdr:from>
    <xdr:to>
      <xdr:col>25</xdr:col>
      <xdr:colOff>819429</xdr:colOff>
      <xdr:row>89</xdr:row>
      <xdr:rowOff>2000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2BE81245-D198-4949-924A-FA8759C8F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8F1C-7D46-4CE6-ACC2-31D0CB6584C9}">
  <dimension ref="A1:S113"/>
  <sheetViews>
    <sheetView topLeftCell="J53" zoomScale="70" zoomScaleNormal="70" workbookViewId="0">
      <selection activeCell="C8" sqref="C8"/>
    </sheetView>
  </sheetViews>
  <sheetFormatPr defaultColWidth="9.25" defaultRowHeight="20" x14ac:dyDescent="0.4"/>
  <cols>
    <col min="1" max="1" width="9.5625" style="4" bestFit="1" customWidth="1"/>
    <col min="2" max="2" width="21.3125" style="4" bestFit="1" customWidth="1"/>
    <col min="3" max="3" width="25.5625" style="4" bestFit="1" customWidth="1"/>
    <col min="4" max="4" width="24.3125" style="4" bestFit="1" customWidth="1"/>
    <col min="5" max="5" width="23.8125" style="4" bestFit="1" customWidth="1"/>
    <col min="6" max="6" width="20.0625" style="4" bestFit="1" customWidth="1"/>
    <col min="7" max="7" width="18.3125" style="4" bestFit="1" customWidth="1"/>
    <col min="8" max="8" width="25.25" style="4" bestFit="1" customWidth="1"/>
    <col min="9" max="9" width="19.0625" style="4" bestFit="1" customWidth="1"/>
    <col min="10" max="10" width="20.75" style="4" bestFit="1" customWidth="1"/>
    <col min="11" max="11" width="19.8125" style="4" bestFit="1" customWidth="1"/>
    <col min="12" max="12" width="21.5625" style="4" bestFit="1" customWidth="1"/>
    <col min="13" max="16384" width="9.25" style="4"/>
  </cols>
  <sheetData>
    <row r="1" spans="1:19" s="2" customFormat="1" x14ac:dyDescent="0.4">
      <c r="A1" s="13" t="s">
        <v>0</v>
      </c>
      <c r="B1" s="1" t="s">
        <v>7</v>
      </c>
      <c r="C1" s="1" t="s">
        <v>5</v>
      </c>
      <c r="D1" s="1" t="s">
        <v>4</v>
      </c>
      <c r="E1" s="1" t="s">
        <v>3</v>
      </c>
      <c r="F1" s="12"/>
      <c r="G1" s="12"/>
    </row>
    <row r="2" spans="1:19" s="2" customFormat="1" x14ac:dyDescent="0.4">
      <c r="A2" s="13"/>
      <c r="B2" s="2">
        <v>1</v>
      </c>
      <c r="C2" s="2">
        <v>-10</v>
      </c>
      <c r="D2" s="2">
        <v>-1</v>
      </c>
      <c r="E2" s="2">
        <v>0.1</v>
      </c>
    </row>
    <row r="3" spans="1:19" s="2" customFormat="1" x14ac:dyDescent="0.4">
      <c r="A3" s="14" t="s">
        <v>2</v>
      </c>
      <c r="B3" s="3" t="s">
        <v>6</v>
      </c>
      <c r="C3" s="3" t="s">
        <v>8</v>
      </c>
    </row>
    <row r="4" spans="1:19" s="2" customFormat="1" x14ac:dyDescent="0.4">
      <c r="A4" s="14"/>
      <c r="B4" s="2">
        <v>0</v>
      </c>
      <c r="C4" s="2">
        <v>0</v>
      </c>
    </row>
    <row r="5" spans="1:19" s="2" customFormat="1" x14ac:dyDescent="0.4">
      <c r="A5" s="15" t="s">
        <v>10</v>
      </c>
      <c r="B5" s="10" t="s">
        <v>12</v>
      </c>
      <c r="C5" s="10" t="s">
        <v>11</v>
      </c>
      <c r="D5" s="7"/>
    </row>
    <row r="6" spans="1:19" s="2" customFormat="1" x14ac:dyDescent="0.4">
      <c r="A6" s="16"/>
      <c r="B6" s="2">
        <v>0.1</v>
      </c>
      <c r="C6" s="2">
        <v>0.01</v>
      </c>
    </row>
    <row r="7" spans="1:19" s="2" customFormat="1" x14ac:dyDescent="0.4">
      <c r="A7" s="17" t="s">
        <v>0</v>
      </c>
      <c r="B7" s="11" t="s">
        <v>23</v>
      </c>
      <c r="C7" s="11" t="s">
        <v>24</v>
      </c>
    </row>
    <row r="8" spans="1:19" s="2" customFormat="1" x14ac:dyDescent="0.4">
      <c r="A8" s="18"/>
      <c r="B8" s="2">
        <v>0.1</v>
      </c>
      <c r="C8" s="2">
        <v>0.01</v>
      </c>
    </row>
    <row r="9" spans="1:19" x14ac:dyDescent="0.4">
      <c r="O9" s="2"/>
      <c r="P9" s="2"/>
      <c r="Q9" s="2"/>
      <c r="R9" s="2"/>
      <c r="S9" s="2"/>
    </row>
    <row r="10" spans="1:19" x14ac:dyDescent="0.4">
      <c r="O10" s="2"/>
      <c r="P10" s="2"/>
      <c r="Q10" s="2"/>
      <c r="R10" s="2"/>
      <c r="S10" s="2"/>
    </row>
    <row r="11" spans="1:19" x14ac:dyDescent="0.4">
      <c r="A11" s="9" t="s">
        <v>1</v>
      </c>
      <c r="B11" s="9" t="s">
        <v>9</v>
      </c>
      <c r="C11" s="9" t="s">
        <v>13</v>
      </c>
      <c r="D11" s="9" t="s">
        <v>18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22</v>
      </c>
      <c r="J11" s="9" t="s">
        <v>21</v>
      </c>
      <c r="K11" s="9" t="s">
        <v>19</v>
      </c>
      <c r="L11" s="9" t="s">
        <v>20</v>
      </c>
      <c r="O11" s="2"/>
      <c r="P11" s="2"/>
      <c r="Q11" s="2"/>
      <c r="R11" s="2"/>
      <c r="S11" s="2"/>
    </row>
    <row r="12" spans="1:19" x14ac:dyDescent="0.4">
      <c r="A12" s="5">
        <v>0</v>
      </c>
      <c r="B12" s="4">
        <v>0</v>
      </c>
      <c r="C12" s="4">
        <v>10</v>
      </c>
      <c r="D12" s="8">
        <f ca="1">C12+IF($B$6&lt;=0,0,_xlfn.NORM.INV(RAND(),0,$B$6))</f>
        <v>9.9281322742478526</v>
      </c>
      <c r="E12" s="6">
        <f ca="1">(D12+$C$2+$D$2*$B$4)/$B$2</f>
        <v>-7.1867725752147393E-2</v>
      </c>
      <c r="F12" s="6">
        <f>$B$4</f>
        <v>0</v>
      </c>
      <c r="G12" s="6">
        <f>$C$4</f>
        <v>0</v>
      </c>
      <c r="H12" s="6">
        <f t="shared" ref="H12:H75" ca="1" si="0">G12+IF($C$6&lt;=0,0,_xlfn.NORM.INV(RAND(),0,$C$6))</f>
        <v>2.2047682223130687E-3</v>
      </c>
      <c r="I12" s="6">
        <f ca="1">$H$12</f>
        <v>2.2047682223130687E-3</v>
      </c>
      <c r="J12" s="6">
        <v>0</v>
      </c>
      <c r="K12" s="8">
        <f ca="1">I12+$B$8*(H12-I12)</f>
        <v>2.2047682223130687E-3</v>
      </c>
      <c r="L12" s="8">
        <f ca="1">J12+$C$8*(H12-I12)/$E$2</f>
        <v>0</v>
      </c>
      <c r="O12" s="2"/>
      <c r="P12" s="2"/>
      <c r="Q12" s="2"/>
      <c r="R12" s="2"/>
      <c r="S12" s="2"/>
    </row>
    <row r="13" spans="1:19" x14ac:dyDescent="0.4">
      <c r="A13" s="5">
        <v>1</v>
      </c>
      <c r="B13" s="4">
        <f>A13*$E$2</f>
        <v>0.1</v>
      </c>
      <c r="C13" s="4">
        <v>10</v>
      </c>
      <c r="D13" s="8">
        <f t="shared" ref="D13:D76" ca="1" si="1">C13+IF($B$6&lt;=0,0,_xlfn.NORM.INV(RAND(),0,$B$6))</f>
        <v>10.177039751777107</v>
      </c>
      <c r="E13" s="4">
        <f ca="1">(D13+$C$2+$D$2*F12)/$B$2</f>
        <v>0.17703975177710696</v>
      </c>
      <c r="F13" s="4">
        <f ca="1">F12+E13*$E$2</f>
        <v>1.7703975177710697E-2</v>
      </c>
      <c r="G13" s="4">
        <f ca="1">G12+F13*$E$2</f>
        <v>1.7703975177710699E-3</v>
      </c>
      <c r="H13" s="8">
        <f ca="1">G13+IF($C$6&lt;=0,0,_xlfn.NORM.INV(RAND(),0,$C$6))</f>
        <v>-1.1322772155152164E-2</v>
      </c>
      <c r="I13" s="4">
        <f ca="1">I12+L12*$E$2</f>
        <v>2.2047682223130687E-3</v>
      </c>
      <c r="J13" s="4">
        <f>(1+$D$2*$E$2/$B$2)*J12+$E$2*(C12+$C$2)/$B$2</f>
        <v>0</v>
      </c>
      <c r="K13" s="8">
        <f t="shared" ref="K13:K76" ca="1" si="2">I13+$B$8*(H13-I13)</f>
        <v>8.5201418456654554E-4</v>
      </c>
      <c r="L13" s="8">
        <f ca="1">J13+$C$8*(H13-I13)/$E$2</f>
        <v>-1.3527540377465232E-3</v>
      </c>
      <c r="O13" s="2"/>
      <c r="P13" s="2"/>
      <c r="Q13" s="2"/>
      <c r="R13" s="2"/>
      <c r="S13" s="2"/>
    </row>
    <row r="14" spans="1:19" x14ac:dyDescent="0.4">
      <c r="A14" s="5">
        <v>2</v>
      </c>
      <c r="B14" s="4">
        <f t="shared" ref="B14:B77" si="3">A14*$E$2</f>
        <v>0.2</v>
      </c>
      <c r="C14" s="4">
        <v>10</v>
      </c>
      <c r="D14" s="8">
        <f t="shared" ca="1" si="1"/>
        <v>9.9481699691923282</v>
      </c>
      <c r="E14" s="4">
        <f t="shared" ref="E14:E77" ca="1" si="4">(D14+$C$2+$D$2*F13)/$B$2</f>
        <v>-6.953400598538248E-2</v>
      </c>
      <c r="F14" s="4">
        <f t="shared" ref="F14:G29" ca="1" si="5">F13+E14*$E$2</f>
        <v>1.0750574579172448E-2</v>
      </c>
      <c r="G14" s="4">
        <f t="shared" ca="1" si="5"/>
        <v>2.8454549756883147E-3</v>
      </c>
      <c r="H14" s="8">
        <f t="shared" ca="1" si="0"/>
        <v>4.2306464007343773E-3</v>
      </c>
      <c r="I14" s="4">
        <f t="shared" ref="I14:I77" ca="1" si="6">I13+L13*$E$2</f>
        <v>2.0694928185384163E-3</v>
      </c>
      <c r="J14" s="4">
        <f>(1+$D$2*$E$2/$B$2)*J13+$E$2*(C13+$C$2)/$B$2</f>
        <v>0</v>
      </c>
      <c r="K14" s="8">
        <f t="shared" ca="1" si="2"/>
        <v>2.2856081767580125E-3</v>
      </c>
      <c r="L14" s="8">
        <f t="shared" ref="L14:L77" ca="1" si="7">J14+$C$8*(H14-I14)/$E$2</f>
        <v>2.1611535821959609E-4</v>
      </c>
      <c r="O14" s="2"/>
      <c r="P14" s="2"/>
      <c r="Q14" s="2"/>
      <c r="R14" s="2"/>
      <c r="S14" s="2"/>
    </row>
    <row r="15" spans="1:19" x14ac:dyDescent="0.4">
      <c r="A15" s="5">
        <v>3</v>
      </c>
      <c r="B15" s="4">
        <f t="shared" si="3"/>
        <v>0.30000000000000004</v>
      </c>
      <c r="C15" s="4">
        <v>10</v>
      </c>
      <c r="D15" s="8">
        <f t="shared" ca="1" si="1"/>
        <v>9.984560850444117</v>
      </c>
      <c r="E15" s="4">
        <f t="shared" ca="1" si="4"/>
        <v>-2.618972413505544E-2</v>
      </c>
      <c r="F15" s="4">
        <f t="shared" ca="1" si="5"/>
        <v>8.1316021656669037E-3</v>
      </c>
      <c r="G15" s="4">
        <f t="shared" ca="1" si="5"/>
        <v>3.6586151922550049E-3</v>
      </c>
      <c r="H15" s="8">
        <f t="shared" ca="1" si="0"/>
        <v>4.7568984640506441E-3</v>
      </c>
      <c r="I15" s="4">
        <f t="shared" ca="1" si="6"/>
        <v>2.091104354360376E-3</v>
      </c>
      <c r="J15" s="4">
        <f>(1+$D$2*$E$2/$B$2)*J14+$E$2*(C14+$C$2)/$B$2</f>
        <v>0</v>
      </c>
      <c r="K15" s="8">
        <f ca="1">I15+$B$8*(H15-I15)</f>
        <v>2.3576837653294029E-3</v>
      </c>
      <c r="L15" s="8">
        <f t="shared" ca="1" si="7"/>
        <v>2.6657941096902679E-4</v>
      </c>
      <c r="O15" s="2"/>
      <c r="P15" s="2"/>
      <c r="Q15" s="2"/>
      <c r="R15" s="2"/>
      <c r="S15" s="2"/>
    </row>
    <row r="16" spans="1:19" x14ac:dyDescent="0.4">
      <c r="A16" s="5">
        <v>4</v>
      </c>
      <c r="B16" s="4">
        <f t="shared" si="3"/>
        <v>0.4</v>
      </c>
      <c r="C16" s="4">
        <v>10</v>
      </c>
      <c r="D16" s="8">
        <f t="shared" ca="1" si="1"/>
        <v>10.130258120139738</v>
      </c>
      <c r="E16" s="4">
        <f t="shared" ca="1" si="4"/>
        <v>0.1221265179740708</v>
      </c>
      <c r="F16" s="4">
        <f t="shared" ca="1" si="5"/>
        <v>2.0344253963073985E-2</v>
      </c>
      <c r="G16" s="4">
        <f t="shared" ca="1" si="5"/>
        <v>5.6930405885624036E-3</v>
      </c>
      <c r="H16" s="8">
        <f t="shared" ca="1" si="0"/>
        <v>1.5006333064501321E-3</v>
      </c>
      <c r="I16" s="4">
        <f t="shared" ca="1" si="6"/>
        <v>2.1177622954572785E-3</v>
      </c>
      <c r="J16" s="4">
        <f t="shared" ref="J14:J77" si="8">(1+$D$2*$E$2/$B$2)*J15+$E$2*(C15+$C$2)/$B$2</f>
        <v>0</v>
      </c>
      <c r="K16" s="8">
        <f t="shared" ca="1" si="2"/>
        <v>2.056049396556564E-3</v>
      </c>
      <c r="L16" s="8">
        <f t="shared" ca="1" si="7"/>
        <v>-6.1712898900714627E-5</v>
      </c>
      <c r="O16" s="2"/>
      <c r="P16" s="2"/>
      <c r="Q16" s="2"/>
      <c r="R16" s="2"/>
      <c r="S16" s="2"/>
    </row>
    <row r="17" spans="1:19" x14ac:dyDescent="0.4">
      <c r="A17" s="5">
        <v>5</v>
      </c>
      <c r="B17" s="4">
        <f t="shared" si="3"/>
        <v>0.5</v>
      </c>
      <c r="C17" s="4">
        <v>10</v>
      </c>
      <c r="D17" s="8">
        <f t="shared" ca="1" si="1"/>
        <v>9.9881764586219788</v>
      </c>
      <c r="E17" s="4">
        <f t="shared" ca="1" si="4"/>
        <v>-3.2167795341095207E-2</v>
      </c>
      <c r="F17" s="4">
        <f t="shared" ca="1" si="5"/>
        <v>1.7127474428964465E-2</v>
      </c>
      <c r="G17" s="4">
        <f t="shared" ca="1" si="5"/>
        <v>7.4057880314588502E-3</v>
      </c>
      <c r="H17" s="8">
        <f t="shared" ca="1" si="0"/>
        <v>-8.8252979383990262E-4</v>
      </c>
      <c r="I17" s="4">
        <f t="shared" ca="1" si="6"/>
        <v>2.1115910055672072E-3</v>
      </c>
      <c r="J17" s="4">
        <f t="shared" si="8"/>
        <v>0</v>
      </c>
      <c r="K17" s="8">
        <f t="shared" ca="1" si="2"/>
        <v>1.8121789256264963E-3</v>
      </c>
      <c r="L17" s="8">
        <f t="shared" ca="1" si="7"/>
        <v>-2.9941207994071094E-4</v>
      </c>
      <c r="O17" s="2"/>
      <c r="P17" s="2"/>
      <c r="Q17" s="2"/>
      <c r="R17" s="2"/>
      <c r="S17" s="2"/>
    </row>
    <row r="18" spans="1:19" x14ac:dyDescent="0.4">
      <c r="A18" s="5">
        <v>6</v>
      </c>
      <c r="B18" s="4">
        <f t="shared" si="3"/>
        <v>0.60000000000000009</v>
      </c>
      <c r="C18" s="4">
        <v>10</v>
      </c>
      <c r="D18" s="8">
        <f t="shared" ca="1" si="1"/>
        <v>9.888772518110402</v>
      </c>
      <c r="E18" s="4">
        <f t="shared" ca="1" si="4"/>
        <v>-0.12835495631856242</v>
      </c>
      <c r="F18" s="4">
        <f t="shared" ca="1" si="5"/>
        <v>4.2919787971082216E-3</v>
      </c>
      <c r="G18" s="4">
        <f t="shared" ca="1" si="5"/>
        <v>7.8349859111696719E-3</v>
      </c>
      <c r="H18" s="8">
        <f t="shared" ca="1" si="0"/>
        <v>6.3698140897792384E-3</v>
      </c>
      <c r="I18" s="4">
        <f t="shared" ca="1" si="6"/>
        <v>2.0816497975731361E-3</v>
      </c>
      <c r="J18" s="4">
        <f t="shared" si="8"/>
        <v>0</v>
      </c>
      <c r="K18" s="8">
        <f t="shared" ca="1" si="2"/>
        <v>2.5104662267937464E-3</v>
      </c>
      <c r="L18" s="8">
        <f t="shared" ca="1" si="7"/>
        <v>4.2881642922061017E-4</v>
      </c>
      <c r="O18" s="2"/>
    </row>
    <row r="19" spans="1:19" x14ac:dyDescent="0.4">
      <c r="A19" s="5">
        <v>7</v>
      </c>
      <c r="B19" s="4">
        <f t="shared" si="3"/>
        <v>0.70000000000000007</v>
      </c>
      <c r="C19" s="4">
        <v>10</v>
      </c>
      <c r="D19" s="8">
        <f t="shared" ca="1" si="1"/>
        <v>10.095905146964434</v>
      </c>
      <c r="E19" s="4">
        <f t="shared" ca="1" si="4"/>
        <v>9.1613168167325426E-2</v>
      </c>
      <c r="F19" s="4">
        <f t="shared" ca="1" si="5"/>
        <v>1.3453295613840765E-2</v>
      </c>
      <c r="G19" s="4">
        <f t="shared" ca="1" si="5"/>
        <v>9.1803154725537475E-3</v>
      </c>
      <c r="H19" s="8">
        <f t="shared" ca="1" si="0"/>
        <v>1.5970702741873302E-2</v>
      </c>
      <c r="I19" s="4">
        <f t="shared" ca="1" si="6"/>
        <v>2.124531440495197E-3</v>
      </c>
      <c r="J19" s="4">
        <f t="shared" si="8"/>
        <v>0</v>
      </c>
      <c r="K19" s="8">
        <f t="shared" ca="1" si="2"/>
        <v>3.5091485706330076E-3</v>
      </c>
      <c r="L19" s="8">
        <f t="shared" ca="1" si="7"/>
        <v>1.3846171301378106E-3</v>
      </c>
      <c r="O19" s="2"/>
    </row>
    <row r="20" spans="1:19" x14ac:dyDescent="0.4">
      <c r="A20" s="5">
        <v>8</v>
      </c>
      <c r="B20" s="4">
        <f t="shared" si="3"/>
        <v>0.8</v>
      </c>
      <c r="C20" s="4">
        <v>10</v>
      </c>
      <c r="D20" s="8">
        <f t="shared" ca="1" si="1"/>
        <v>10.188410649714687</v>
      </c>
      <c r="E20" s="4">
        <f t="shared" ca="1" si="4"/>
        <v>0.17495735410084592</v>
      </c>
      <c r="F20" s="4">
        <f t="shared" ca="1" si="5"/>
        <v>3.0949031023925357E-2</v>
      </c>
      <c r="G20" s="4">
        <f t="shared" ca="1" si="5"/>
        <v>1.2275218574946282E-2</v>
      </c>
      <c r="H20" s="8">
        <f t="shared" ca="1" si="0"/>
        <v>1.5496990068553046E-2</v>
      </c>
      <c r="I20" s="4">
        <f t="shared" ca="1" si="6"/>
        <v>2.2629931535089781E-3</v>
      </c>
      <c r="J20" s="4">
        <f t="shared" si="8"/>
        <v>0</v>
      </c>
      <c r="K20" s="8">
        <f t="shared" ca="1" si="2"/>
        <v>3.5863928450133851E-3</v>
      </c>
      <c r="L20" s="8">
        <f t="shared" ca="1" si="7"/>
        <v>1.3233996915044067E-3</v>
      </c>
      <c r="O20" s="2"/>
    </row>
    <row r="21" spans="1:19" x14ac:dyDescent="0.4">
      <c r="A21" s="5">
        <v>9</v>
      </c>
      <c r="B21" s="4">
        <f t="shared" si="3"/>
        <v>0.9</v>
      </c>
      <c r="C21" s="4">
        <v>10</v>
      </c>
      <c r="D21" s="8">
        <f t="shared" ca="1" si="1"/>
        <v>10.103218681633757</v>
      </c>
      <c r="E21" s="4">
        <f t="shared" ca="1" si="4"/>
        <v>7.226965060983212E-2</v>
      </c>
      <c r="F21" s="4">
        <f t="shared" ca="1" si="5"/>
        <v>3.817599608490857E-2</v>
      </c>
      <c r="G21" s="4">
        <f t="shared" ca="1" si="5"/>
        <v>1.6092818183437139E-2</v>
      </c>
      <c r="H21" s="8">
        <f t="shared" ca="1" si="0"/>
        <v>3.8696247272827444E-2</v>
      </c>
      <c r="I21" s="4">
        <f t="shared" ca="1" si="6"/>
        <v>2.395333122659419E-3</v>
      </c>
      <c r="J21" s="4">
        <f t="shared" si="8"/>
        <v>0</v>
      </c>
      <c r="K21" s="8">
        <f t="shared" ca="1" si="2"/>
        <v>6.0254245376762218E-3</v>
      </c>
      <c r="L21" s="8">
        <f t="shared" ca="1" si="7"/>
        <v>3.6300914150168028E-3</v>
      </c>
      <c r="O21" s="2"/>
    </row>
    <row r="22" spans="1:19" x14ac:dyDescent="0.4">
      <c r="A22" s="5">
        <v>10</v>
      </c>
      <c r="B22" s="4">
        <f t="shared" si="3"/>
        <v>1</v>
      </c>
      <c r="C22" s="4">
        <v>10</v>
      </c>
      <c r="D22" s="8">
        <f t="shared" ca="1" si="1"/>
        <v>10.011413735291626</v>
      </c>
      <c r="E22" s="4">
        <f t="shared" ca="1" si="4"/>
        <v>-2.6762260793282644E-2</v>
      </c>
      <c r="F22" s="4">
        <f t="shared" ca="1" si="5"/>
        <v>3.5499770005580307E-2</v>
      </c>
      <c r="G22" s="4">
        <f t="shared" ca="1" si="5"/>
        <v>1.9642795183995171E-2</v>
      </c>
      <c r="H22" s="8">
        <f t="shared" ca="1" si="0"/>
        <v>-5.2423264019648592E-3</v>
      </c>
      <c r="I22" s="4">
        <f t="shared" ca="1" si="6"/>
        <v>2.7583422641610992E-3</v>
      </c>
      <c r="J22" s="4">
        <f t="shared" si="8"/>
        <v>0</v>
      </c>
      <c r="K22" s="8">
        <f t="shared" ca="1" si="2"/>
        <v>1.9582753975485034E-3</v>
      </c>
      <c r="L22" s="8">
        <f t="shared" ca="1" si="7"/>
        <v>-8.0006686661259591E-4</v>
      </c>
    </row>
    <row r="23" spans="1:19" x14ac:dyDescent="0.4">
      <c r="A23" s="5">
        <v>11</v>
      </c>
      <c r="B23" s="4">
        <f t="shared" si="3"/>
        <v>1.1000000000000001</v>
      </c>
      <c r="C23" s="4">
        <v>10</v>
      </c>
      <c r="D23" s="8">
        <f t="shared" ca="1" si="1"/>
        <v>10.02026687377842</v>
      </c>
      <c r="E23" s="4">
        <f t="shared" ca="1" si="4"/>
        <v>-1.5232896227160571E-2</v>
      </c>
      <c r="F23" s="4">
        <f t="shared" ca="1" si="5"/>
        <v>3.3976480382864251E-2</v>
      </c>
      <c r="G23" s="4">
        <f t="shared" ca="1" si="5"/>
        <v>2.3040443222281597E-2</v>
      </c>
      <c r="H23" s="8">
        <f t="shared" ca="1" si="0"/>
        <v>3.8424136412804719E-2</v>
      </c>
      <c r="I23" s="4">
        <f t="shared" ca="1" si="6"/>
        <v>2.6783355774998396E-3</v>
      </c>
      <c r="J23" s="4">
        <f t="shared" si="8"/>
        <v>0</v>
      </c>
      <c r="K23" s="8">
        <f t="shared" ca="1" si="2"/>
        <v>6.2529156610303281E-3</v>
      </c>
      <c r="L23" s="8">
        <f t="shared" ca="1" si="7"/>
        <v>3.574580083530488E-3</v>
      </c>
    </row>
    <row r="24" spans="1:19" x14ac:dyDescent="0.4">
      <c r="A24" s="5">
        <v>12</v>
      </c>
      <c r="B24" s="4">
        <f t="shared" si="3"/>
        <v>1.2000000000000002</v>
      </c>
      <c r="C24" s="4">
        <v>10</v>
      </c>
      <c r="D24" s="8">
        <f t="shared" ca="1" si="1"/>
        <v>9.9905906680485188</v>
      </c>
      <c r="E24" s="4">
        <f t="shared" ca="1" si="4"/>
        <v>-4.3385812334345443E-2</v>
      </c>
      <c r="F24" s="4">
        <f t="shared" ca="1" si="5"/>
        <v>2.9637899149429707E-2</v>
      </c>
      <c r="G24" s="4">
        <f t="shared" ca="1" si="5"/>
        <v>2.6004233137224567E-2</v>
      </c>
      <c r="H24" s="8">
        <f t="shared" ca="1" si="0"/>
        <v>3.7784579738478256E-2</v>
      </c>
      <c r="I24" s="4">
        <f t="shared" ca="1" si="6"/>
        <v>3.0357935858528885E-3</v>
      </c>
      <c r="J24" s="4">
        <f t="shared" si="8"/>
        <v>0</v>
      </c>
      <c r="K24" s="8">
        <f t="shared" ca="1" si="2"/>
        <v>6.510672201115425E-3</v>
      </c>
      <c r="L24" s="8">
        <f t="shared" ca="1" si="7"/>
        <v>3.4748786152625365E-3</v>
      </c>
    </row>
    <row r="25" spans="1:19" x14ac:dyDescent="0.4">
      <c r="A25" s="5">
        <v>13</v>
      </c>
      <c r="B25" s="4">
        <f t="shared" si="3"/>
        <v>1.3</v>
      </c>
      <c r="C25" s="4">
        <v>10</v>
      </c>
      <c r="D25" s="8">
        <f t="shared" ca="1" si="1"/>
        <v>10.053968291505566</v>
      </c>
      <c r="E25" s="4">
        <f t="shared" ca="1" si="4"/>
        <v>2.4330392356135995E-2</v>
      </c>
      <c r="F25" s="4">
        <f t="shared" ca="1" si="5"/>
        <v>3.207093838504331E-2</v>
      </c>
      <c r="G25" s="4">
        <f t="shared" ca="1" si="5"/>
        <v>2.9211326975728896E-2</v>
      </c>
      <c r="H25" s="8">
        <f t="shared" ca="1" si="0"/>
        <v>3.3433653083647479E-2</v>
      </c>
      <c r="I25" s="4">
        <f t="shared" ca="1" si="6"/>
        <v>3.3832814473791421E-3</v>
      </c>
      <c r="J25" s="4">
        <f t="shared" si="8"/>
        <v>0</v>
      </c>
      <c r="K25" s="8">
        <f t="shared" ca="1" si="2"/>
        <v>6.3883186110059755E-3</v>
      </c>
      <c r="L25" s="8">
        <f t="shared" ca="1" si="7"/>
        <v>3.0050371636268333E-3</v>
      </c>
    </row>
    <row r="26" spans="1:19" x14ac:dyDescent="0.4">
      <c r="A26" s="5">
        <v>14</v>
      </c>
      <c r="B26" s="4">
        <f t="shared" si="3"/>
        <v>1.4000000000000001</v>
      </c>
      <c r="C26" s="4">
        <v>10</v>
      </c>
      <c r="D26" s="8">
        <f t="shared" ca="1" si="1"/>
        <v>9.9571867372023384</v>
      </c>
      <c r="E26" s="4">
        <f t="shared" ca="1" si="4"/>
        <v>-7.4884201182704932E-2</v>
      </c>
      <c r="F26" s="4">
        <f t="shared" ca="1" si="5"/>
        <v>2.4582518266772817E-2</v>
      </c>
      <c r="G26" s="4">
        <f t="shared" ca="1" si="5"/>
        <v>3.166957880240618E-2</v>
      </c>
      <c r="H26" s="8">
        <f t="shared" ca="1" si="0"/>
        <v>4.1892151587782984E-2</v>
      </c>
      <c r="I26" s="4">
        <f t="shared" ca="1" si="6"/>
        <v>3.6837851637418254E-3</v>
      </c>
      <c r="J26" s="4">
        <f t="shared" si="8"/>
        <v>0</v>
      </c>
      <c r="K26" s="8">
        <f t="shared" ca="1" si="2"/>
        <v>7.5046218061459412E-3</v>
      </c>
      <c r="L26" s="8">
        <f t="shared" ca="1" si="7"/>
        <v>3.8208366424041153E-3</v>
      </c>
    </row>
    <row r="27" spans="1:19" x14ac:dyDescent="0.4">
      <c r="A27" s="5">
        <v>15</v>
      </c>
      <c r="B27" s="4">
        <f t="shared" si="3"/>
        <v>1.5</v>
      </c>
      <c r="C27" s="4">
        <v>10</v>
      </c>
      <c r="D27" s="8">
        <f t="shared" ca="1" si="1"/>
        <v>10.06047383329266</v>
      </c>
      <c r="E27" s="4">
        <f t="shared" ca="1" si="4"/>
        <v>3.5891315025886945E-2</v>
      </c>
      <c r="F27" s="4">
        <f t="shared" ca="1" si="5"/>
        <v>2.8171649769361512E-2</v>
      </c>
      <c r="G27" s="4">
        <f t="shared" ca="1" si="5"/>
        <v>3.4486743779342334E-2</v>
      </c>
      <c r="H27" s="8">
        <f t="shared" ca="1" si="0"/>
        <v>4.4553377975677849E-2</v>
      </c>
      <c r="I27" s="4">
        <f t="shared" ca="1" si="6"/>
        <v>4.0658688279822369E-3</v>
      </c>
      <c r="J27" s="4">
        <f t="shared" si="8"/>
        <v>0</v>
      </c>
      <c r="K27" s="8">
        <f t="shared" ca="1" si="2"/>
        <v>8.1146197427517976E-3</v>
      </c>
      <c r="L27" s="8">
        <f t="shared" ca="1" si="7"/>
        <v>4.0487509147695607E-3</v>
      </c>
    </row>
    <row r="28" spans="1:19" x14ac:dyDescent="0.4">
      <c r="A28" s="5">
        <v>16</v>
      </c>
      <c r="B28" s="4">
        <f t="shared" si="3"/>
        <v>1.6</v>
      </c>
      <c r="C28" s="4">
        <v>10</v>
      </c>
      <c r="D28" s="8">
        <f t="shared" ca="1" si="1"/>
        <v>9.8490623957545154</v>
      </c>
      <c r="E28" s="4">
        <f t="shared" ca="1" si="4"/>
        <v>-0.17910925401484615</v>
      </c>
      <c r="F28" s="4">
        <f t="shared" ca="1" si="5"/>
        <v>1.0260724367876898E-2</v>
      </c>
      <c r="G28" s="4">
        <f t="shared" ca="1" si="5"/>
        <v>3.5512816216130026E-2</v>
      </c>
      <c r="H28" s="8">
        <f t="shared" ca="1" si="0"/>
        <v>2.5551297264279418E-2</v>
      </c>
      <c r="I28" s="4">
        <f t="shared" ca="1" si="6"/>
        <v>4.4707439194591929E-3</v>
      </c>
      <c r="J28" s="4">
        <f t="shared" si="8"/>
        <v>0</v>
      </c>
      <c r="K28" s="8">
        <f t="shared" ca="1" si="2"/>
        <v>6.578799253941215E-3</v>
      </c>
      <c r="L28" s="8">
        <f t="shared" ca="1" si="7"/>
        <v>2.1080553344820225E-3</v>
      </c>
    </row>
    <row r="29" spans="1:19" x14ac:dyDescent="0.4">
      <c r="A29" s="5">
        <v>17</v>
      </c>
      <c r="B29" s="4">
        <f t="shared" si="3"/>
        <v>1.7000000000000002</v>
      </c>
      <c r="C29" s="4">
        <v>10</v>
      </c>
      <c r="D29" s="8">
        <f t="shared" ca="1" si="1"/>
        <v>9.9753876452973387</v>
      </c>
      <c r="E29" s="4">
        <f t="shared" ca="1" si="4"/>
        <v>-3.4873079070538215E-2</v>
      </c>
      <c r="F29" s="4">
        <f t="shared" ca="1" si="5"/>
        <v>6.7734164608230767E-3</v>
      </c>
      <c r="G29" s="4">
        <f t="shared" ca="1" si="5"/>
        <v>3.6190157862212337E-2</v>
      </c>
      <c r="H29" s="8">
        <f t="shared" ca="1" si="0"/>
        <v>6.0226103346351825E-2</v>
      </c>
      <c r="I29" s="4">
        <f t="shared" ca="1" si="6"/>
        <v>4.6815494529073949E-3</v>
      </c>
      <c r="J29" s="4">
        <f t="shared" si="8"/>
        <v>0</v>
      </c>
      <c r="K29" s="8">
        <f t="shared" ca="1" si="2"/>
        <v>1.0236004842251838E-2</v>
      </c>
      <c r="L29" s="8">
        <f t="shared" ca="1" si="7"/>
        <v>5.5544553893444436E-3</v>
      </c>
    </row>
    <row r="30" spans="1:19" x14ac:dyDescent="0.4">
      <c r="A30" s="5">
        <v>18</v>
      </c>
      <c r="B30" s="4">
        <f t="shared" si="3"/>
        <v>1.8</v>
      </c>
      <c r="C30" s="4">
        <v>10</v>
      </c>
      <c r="D30" s="8">
        <f t="shared" ca="1" si="1"/>
        <v>9.988857058246996</v>
      </c>
      <c r="E30" s="4">
        <f t="shared" ca="1" si="4"/>
        <v>-1.7916358213827088E-2</v>
      </c>
      <c r="F30" s="4">
        <f t="shared" ref="F30:G45" ca="1" si="9">F29+E30*$E$2</f>
        <v>4.9817806394403677E-3</v>
      </c>
      <c r="G30" s="4">
        <f t="shared" ca="1" si="9"/>
        <v>3.6688335926156376E-2</v>
      </c>
      <c r="H30" s="8">
        <f t="shared" ca="1" si="0"/>
        <v>1.9832062258912188E-2</v>
      </c>
      <c r="I30" s="4">
        <f t="shared" ca="1" si="6"/>
        <v>5.2369949918418396E-3</v>
      </c>
      <c r="J30" s="4">
        <f t="shared" si="8"/>
        <v>0</v>
      </c>
      <c r="K30" s="8">
        <f t="shared" ca="1" si="2"/>
        <v>6.6965017185488746E-3</v>
      </c>
      <c r="L30" s="8">
        <f t="shared" ca="1" si="7"/>
        <v>1.4595067267070348E-3</v>
      </c>
    </row>
    <row r="31" spans="1:19" x14ac:dyDescent="0.4">
      <c r="A31" s="5">
        <v>19</v>
      </c>
      <c r="B31" s="4">
        <f t="shared" si="3"/>
        <v>1.9000000000000001</v>
      </c>
      <c r="C31" s="4">
        <v>10</v>
      </c>
      <c r="D31" s="8">
        <f t="shared" ca="1" si="1"/>
        <v>10.000666627373539</v>
      </c>
      <c r="E31" s="4">
        <f t="shared" ca="1" si="4"/>
        <v>-4.315153265901637E-3</v>
      </c>
      <c r="F31" s="4">
        <f t="shared" ca="1" si="9"/>
        <v>4.5502653128502036E-3</v>
      </c>
      <c r="G31" s="4">
        <f t="shared" ca="1" si="9"/>
        <v>3.7143362457441396E-2</v>
      </c>
      <c r="H31" s="8">
        <f t="shared" ca="1" si="0"/>
        <v>3.397224490116578E-2</v>
      </c>
      <c r="I31" s="4">
        <f t="shared" ca="1" si="6"/>
        <v>5.3829456645125432E-3</v>
      </c>
      <c r="J31" s="4">
        <f t="shared" si="8"/>
        <v>0</v>
      </c>
      <c r="K31" s="8">
        <f t="shared" ca="1" si="2"/>
        <v>8.2418755881778667E-3</v>
      </c>
      <c r="L31" s="8">
        <f t="shared" ca="1" si="7"/>
        <v>2.8589299236653236E-3</v>
      </c>
    </row>
    <row r="32" spans="1:19" x14ac:dyDescent="0.4">
      <c r="A32" s="5">
        <v>20</v>
      </c>
      <c r="B32" s="4">
        <f t="shared" si="3"/>
        <v>2</v>
      </c>
      <c r="C32" s="4">
        <v>10</v>
      </c>
      <c r="D32" s="8">
        <f t="shared" ca="1" si="1"/>
        <v>10.082854451234622</v>
      </c>
      <c r="E32" s="4">
        <f t="shared" ca="1" si="4"/>
        <v>7.8304185921772115E-2</v>
      </c>
      <c r="F32" s="4">
        <f t="shared" ca="1" si="9"/>
        <v>1.2380683905027416E-2</v>
      </c>
      <c r="G32" s="4">
        <f t="shared" ca="1" si="9"/>
        <v>3.838143084794414E-2</v>
      </c>
      <c r="H32" s="8">
        <f t="shared" ca="1" si="0"/>
        <v>4.4798854664436033E-2</v>
      </c>
      <c r="I32" s="4">
        <f t="shared" ca="1" si="6"/>
        <v>5.6688386568790753E-3</v>
      </c>
      <c r="J32" s="4">
        <f t="shared" si="8"/>
        <v>0</v>
      </c>
      <c r="K32" s="8">
        <f t="shared" ca="1" si="2"/>
        <v>9.5818402576347723E-3</v>
      </c>
      <c r="L32" s="8">
        <f t="shared" ca="1" si="7"/>
        <v>3.9130016007556953E-3</v>
      </c>
    </row>
    <row r="33" spans="1:12" x14ac:dyDescent="0.4">
      <c r="A33" s="5">
        <v>21</v>
      </c>
      <c r="B33" s="4">
        <f t="shared" si="3"/>
        <v>2.1</v>
      </c>
      <c r="C33" s="4">
        <v>10</v>
      </c>
      <c r="D33" s="8">
        <f t="shared" ca="1" si="1"/>
        <v>10.09444274706145</v>
      </c>
      <c r="E33" s="4">
        <f t="shared" ca="1" si="4"/>
        <v>8.2062063156422532E-2</v>
      </c>
      <c r="F33" s="4">
        <f t="shared" ca="1" si="9"/>
        <v>2.058689022066967E-2</v>
      </c>
      <c r="G33" s="4">
        <f t="shared" ca="1" si="9"/>
        <v>4.0440119870011108E-2</v>
      </c>
      <c r="H33" s="8">
        <f t="shared" ca="1" si="0"/>
        <v>3.9239033873346381E-2</v>
      </c>
      <c r="I33" s="4">
        <f t="shared" ca="1" si="6"/>
        <v>6.0601388169546451E-3</v>
      </c>
      <c r="J33" s="4">
        <f t="shared" si="8"/>
        <v>0</v>
      </c>
      <c r="K33" s="8">
        <f t="shared" ca="1" si="2"/>
        <v>9.3780283225938198E-3</v>
      </c>
      <c r="L33" s="8">
        <f t="shared" ca="1" si="7"/>
        <v>3.3178895056391738E-3</v>
      </c>
    </row>
    <row r="34" spans="1:12" x14ac:dyDescent="0.4">
      <c r="A34" s="5">
        <v>22</v>
      </c>
      <c r="B34" s="4">
        <f t="shared" si="3"/>
        <v>2.2000000000000002</v>
      </c>
      <c r="C34" s="4">
        <v>10</v>
      </c>
      <c r="D34" s="8">
        <f t="shared" ca="1" si="1"/>
        <v>9.948322032268436</v>
      </c>
      <c r="E34" s="4">
        <f t="shared" ca="1" si="4"/>
        <v>-7.2264857952233641E-2</v>
      </c>
      <c r="F34" s="4">
        <f t="shared" ca="1" si="9"/>
        <v>1.3360404425446306E-2</v>
      </c>
      <c r="G34" s="4">
        <f t="shared" ca="1" si="9"/>
        <v>4.1776160312555738E-2</v>
      </c>
      <c r="H34" s="8">
        <f t="shared" ca="1" si="0"/>
        <v>4.2639756882579379E-2</v>
      </c>
      <c r="I34" s="4">
        <f t="shared" ca="1" si="6"/>
        <v>6.3919277675185621E-3</v>
      </c>
      <c r="J34" s="4">
        <f t="shared" si="8"/>
        <v>0</v>
      </c>
      <c r="K34" s="8">
        <f t="shared" ca="1" si="2"/>
        <v>1.0016710679024644E-2</v>
      </c>
      <c r="L34" s="8">
        <f t="shared" ca="1" si="7"/>
        <v>3.6247829115060816E-3</v>
      </c>
    </row>
    <row r="35" spans="1:12" x14ac:dyDescent="0.4">
      <c r="A35" s="5">
        <v>23</v>
      </c>
      <c r="B35" s="4">
        <f t="shared" si="3"/>
        <v>2.3000000000000003</v>
      </c>
      <c r="C35" s="4">
        <v>10</v>
      </c>
      <c r="D35" s="8">
        <f t="shared" ca="1" si="1"/>
        <v>10.230985748077288</v>
      </c>
      <c r="E35" s="4">
        <f t="shared" ca="1" si="4"/>
        <v>0.21762534365184136</v>
      </c>
      <c r="F35" s="4">
        <f t="shared" ca="1" si="9"/>
        <v>3.5122938790630442E-2</v>
      </c>
      <c r="G35" s="4">
        <f t="shared" ca="1" si="9"/>
        <v>4.5288454191618782E-2</v>
      </c>
      <c r="H35" s="8">
        <f t="shared" ca="1" si="0"/>
        <v>4.4726458158748844E-2</v>
      </c>
      <c r="I35" s="4">
        <f t="shared" ca="1" si="6"/>
        <v>6.7544060586691703E-3</v>
      </c>
      <c r="J35" s="4">
        <f t="shared" si="8"/>
        <v>0</v>
      </c>
      <c r="K35" s="8">
        <f t="shared" ca="1" si="2"/>
        <v>1.0551611268677138E-2</v>
      </c>
      <c r="L35" s="8">
        <f t="shared" ca="1" si="7"/>
        <v>3.7972052100079673E-3</v>
      </c>
    </row>
    <row r="36" spans="1:12" x14ac:dyDescent="0.4">
      <c r="A36" s="5">
        <v>24</v>
      </c>
      <c r="B36" s="4">
        <f t="shared" si="3"/>
        <v>2.4000000000000004</v>
      </c>
      <c r="C36" s="4">
        <v>10</v>
      </c>
      <c r="D36" s="8">
        <f t="shared" ca="1" si="1"/>
        <v>9.9722530801746778</v>
      </c>
      <c r="E36" s="4">
        <f t="shared" ca="1" si="4"/>
        <v>-6.2869858615952623E-2</v>
      </c>
      <c r="F36" s="4">
        <f t="shared" ca="1" si="9"/>
        <v>2.883595292903518E-2</v>
      </c>
      <c r="G36" s="4">
        <f t="shared" ca="1" si="9"/>
        <v>4.8172049484522299E-2</v>
      </c>
      <c r="H36" s="8">
        <f t="shared" ca="1" si="0"/>
        <v>4.0519051247725701E-2</v>
      </c>
      <c r="I36" s="4">
        <f t="shared" ca="1" si="6"/>
        <v>7.1341265796699667E-3</v>
      </c>
      <c r="J36" s="4">
        <f t="shared" si="8"/>
        <v>0</v>
      </c>
      <c r="K36" s="8">
        <f t="shared" ca="1" si="2"/>
        <v>1.0472619046475541E-2</v>
      </c>
      <c r="L36" s="8">
        <f t="shared" ca="1" si="7"/>
        <v>3.3384924668055731E-3</v>
      </c>
    </row>
    <row r="37" spans="1:12" x14ac:dyDescent="0.4">
      <c r="A37" s="5">
        <v>25</v>
      </c>
      <c r="B37" s="4">
        <f t="shared" si="3"/>
        <v>2.5</v>
      </c>
      <c r="C37" s="4">
        <v>10</v>
      </c>
      <c r="D37" s="8">
        <f t="shared" ca="1" si="1"/>
        <v>10.003072073658034</v>
      </c>
      <c r="E37" s="4">
        <f t="shared" ca="1" si="4"/>
        <v>-2.5763879271001322E-2</v>
      </c>
      <c r="F37" s="4">
        <f t="shared" ca="1" si="9"/>
        <v>2.6259565001935048E-2</v>
      </c>
      <c r="G37" s="4">
        <f t="shared" ca="1" si="9"/>
        <v>5.0798005984715802E-2</v>
      </c>
      <c r="H37" s="8">
        <f t="shared" ca="1" si="0"/>
        <v>4.6443506817898619E-2</v>
      </c>
      <c r="I37" s="4">
        <f t="shared" ca="1" si="6"/>
        <v>7.4679758263505244E-3</v>
      </c>
      <c r="J37" s="4">
        <f t="shared" si="8"/>
        <v>0</v>
      </c>
      <c r="K37" s="8">
        <f t="shared" ca="1" si="2"/>
        <v>1.1365528925505334E-2</v>
      </c>
      <c r="L37" s="8">
        <f t="shared" ca="1" si="7"/>
        <v>3.8975530991548096E-3</v>
      </c>
    </row>
    <row r="38" spans="1:12" x14ac:dyDescent="0.4">
      <c r="A38" s="5">
        <v>26</v>
      </c>
      <c r="B38" s="4">
        <f t="shared" si="3"/>
        <v>2.6</v>
      </c>
      <c r="C38" s="4">
        <v>10</v>
      </c>
      <c r="D38" s="8">
        <f t="shared" ca="1" si="1"/>
        <v>9.9778534228867564</v>
      </c>
      <c r="E38" s="4">
        <f t="shared" ca="1" si="4"/>
        <v>-4.8406142115178685E-2</v>
      </c>
      <c r="F38" s="4">
        <f t="shared" ca="1" si="9"/>
        <v>2.1418950790417179E-2</v>
      </c>
      <c r="G38" s="4">
        <f t="shared" ca="1" si="9"/>
        <v>5.2939901063757518E-2</v>
      </c>
      <c r="H38" s="8">
        <f t="shared" ca="1" si="0"/>
        <v>5.4108907897931637E-2</v>
      </c>
      <c r="I38" s="4">
        <f t="shared" ca="1" si="6"/>
        <v>7.8577311362660052E-3</v>
      </c>
      <c r="J38" s="4">
        <f t="shared" si="8"/>
        <v>0</v>
      </c>
      <c r="K38" s="8">
        <f t="shared" ca="1" si="2"/>
        <v>1.2482848812432569E-2</v>
      </c>
      <c r="L38" s="8">
        <f t="shared" ca="1" si="7"/>
        <v>4.6251176761665626E-3</v>
      </c>
    </row>
    <row r="39" spans="1:12" x14ac:dyDescent="0.4">
      <c r="A39" s="5">
        <v>27</v>
      </c>
      <c r="B39" s="4">
        <f t="shared" si="3"/>
        <v>2.7</v>
      </c>
      <c r="C39" s="4">
        <v>10</v>
      </c>
      <c r="D39" s="8">
        <f t="shared" ca="1" si="1"/>
        <v>10.014625689578576</v>
      </c>
      <c r="E39" s="4">
        <f t="shared" ca="1" si="4"/>
        <v>-6.79326121184105E-3</v>
      </c>
      <c r="F39" s="4">
        <f t="shared" ca="1" si="9"/>
        <v>2.0739624669233073E-2</v>
      </c>
      <c r="G39" s="4">
        <f t="shared" ca="1" si="9"/>
        <v>5.5013863530680822E-2</v>
      </c>
      <c r="H39" s="8">
        <f t="shared" ca="1" si="0"/>
        <v>4.8049524752033612E-2</v>
      </c>
      <c r="I39" s="4">
        <f t="shared" ca="1" si="6"/>
        <v>8.3202429038826617E-3</v>
      </c>
      <c r="J39" s="4">
        <f t="shared" si="8"/>
        <v>0</v>
      </c>
      <c r="K39" s="8">
        <f t="shared" ca="1" si="2"/>
        <v>1.2293171088697756E-2</v>
      </c>
      <c r="L39" s="8">
        <f t="shared" ca="1" si="7"/>
        <v>3.9729281848150944E-3</v>
      </c>
    </row>
    <row r="40" spans="1:12" x14ac:dyDescent="0.4">
      <c r="A40" s="5">
        <v>28</v>
      </c>
      <c r="B40" s="4">
        <f t="shared" si="3"/>
        <v>2.8000000000000003</v>
      </c>
      <c r="C40" s="4">
        <v>10</v>
      </c>
      <c r="D40" s="8">
        <f t="shared" ca="1" si="1"/>
        <v>9.9350605800331007</v>
      </c>
      <c r="E40" s="4">
        <f t="shared" ca="1" si="4"/>
        <v>-8.5679044636132407E-2</v>
      </c>
      <c r="F40" s="4">
        <f t="shared" ca="1" si="9"/>
        <v>1.2171720205619832E-2</v>
      </c>
      <c r="G40" s="4">
        <f t="shared" ca="1" si="9"/>
        <v>5.6231035551242807E-2</v>
      </c>
      <c r="H40" s="8">
        <f t="shared" ca="1" si="0"/>
        <v>7.6256376111182328E-2</v>
      </c>
      <c r="I40" s="4">
        <f t="shared" ca="1" si="6"/>
        <v>8.7175357223641704E-3</v>
      </c>
      <c r="J40" s="4">
        <f t="shared" si="8"/>
        <v>0</v>
      </c>
      <c r="K40" s="8">
        <f t="shared" ca="1" si="2"/>
        <v>1.5471419761245987E-2</v>
      </c>
      <c r="L40" s="8">
        <f t="shared" ca="1" si="7"/>
        <v>6.7538840388818161E-3</v>
      </c>
    </row>
    <row r="41" spans="1:12" x14ac:dyDescent="0.4">
      <c r="A41" s="5">
        <v>29</v>
      </c>
      <c r="B41" s="4">
        <f t="shared" si="3"/>
        <v>2.9000000000000004</v>
      </c>
      <c r="C41" s="4">
        <v>10</v>
      </c>
      <c r="D41" s="8">
        <f t="shared" ca="1" si="1"/>
        <v>9.9503622006875858</v>
      </c>
      <c r="E41" s="4">
        <f t="shared" ca="1" si="4"/>
        <v>-6.1809519518034019E-2</v>
      </c>
      <c r="F41" s="4">
        <f t="shared" ca="1" si="9"/>
        <v>5.9907682538164302E-3</v>
      </c>
      <c r="G41" s="4">
        <f t="shared" ca="1" si="9"/>
        <v>5.6830112376624449E-2</v>
      </c>
      <c r="H41" s="8">
        <f t="shared" ca="1" si="0"/>
        <v>7.4093763226766321E-2</v>
      </c>
      <c r="I41" s="4">
        <f t="shared" ca="1" si="6"/>
        <v>9.3929241262523527E-3</v>
      </c>
      <c r="J41" s="4">
        <f t="shared" si="8"/>
        <v>0</v>
      </c>
      <c r="K41" s="8">
        <f t="shared" ca="1" si="2"/>
        <v>1.586300803630375E-2</v>
      </c>
      <c r="L41" s="8">
        <f t="shared" ca="1" si="7"/>
        <v>6.4700839100513968E-3</v>
      </c>
    </row>
    <row r="42" spans="1:12" x14ac:dyDescent="0.4">
      <c r="A42" s="5">
        <v>30</v>
      </c>
      <c r="B42" s="4">
        <f t="shared" si="3"/>
        <v>3</v>
      </c>
      <c r="C42" s="4">
        <v>10</v>
      </c>
      <c r="D42" s="8">
        <f t="shared" ca="1" si="1"/>
        <v>10.084588422940616</v>
      </c>
      <c r="E42" s="4">
        <f t="shared" ca="1" si="4"/>
        <v>7.8597654686799537E-2</v>
      </c>
      <c r="F42" s="4">
        <f t="shared" ca="1" si="9"/>
        <v>1.3850533722496384E-2</v>
      </c>
      <c r="G42" s="4">
        <f t="shared" ca="1" si="9"/>
        <v>5.8215165748874087E-2</v>
      </c>
      <c r="H42" s="8">
        <f t="shared" ca="1" si="0"/>
        <v>6.3548997108795927E-2</v>
      </c>
      <c r="I42" s="4">
        <f t="shared" ca="1" si="6"/>
        <v>1.0039932517257492E-2</v>
      </c>
      <c r="J42" s="4">
        <f t="shared" si="8"/>
        <v>0</v>
      </c>
      <c r="K42" s="8">
        <f t="shared" ca="1" si="2"/>
        <v>1.5390838976411336E-2</v>
      </c>
      <c r="L42" s="8">
        <f t="shared" ca="1" si="7"/>
        <v>5.3509064591538442E-3</v>
      </c>
    </row>
    <row r="43" spans="1:12" x14ac:dyDescent="0.4">
      <c r="A43" s="5">
        <v>31</v>
      </c>
      <c r="B43" s="4">
        <f t="shared" si="3"/>
        <v>3.1</v>
      </c>
      <c r="C43" s="4">
        <v>10</v>
      </c>
      <c r="D43" s="8">
        <f t="shared" ca="1" si="1"/>
        <v>10.111158651759597</v>
      </c>
      <c r="E43" s="4">
        <f t="shared" ca="1" si="4"/>
        <v>9.7308118037100669E-2</v>
      </c>
      <c r="F43" s="4">
        <f t="shared" ca="1" si="9"/>
        <v>2.358134552620645E-2</v>
      </c>
      <c r="G43" s="4">
        <f t="shared" ca="1" si="9"/>
        <v>6.0573300301494729E-2</v>
      </c>
      <c r="H43" s="8">
        <f t="shared" ca="1" si="0"/>
        <v>4.753421381476633E-2</v>
      </c>
      <c r="I43" s="4">
        <f t="shared" ca="1" si="6"/>
        <v>1.0575023163172876E-2</v>
      </c>
      <c r="J43" s="4">
        <f t="shared" si="8"/>
        <v>0</v>
      </c>
      <c r="K43" s="8">
        <f t="shared" ca="1" si="2"/>
        <v>1.4270942228332221E-2</v>
      </c>
      <c r="L43" s="8">
        <f t="shared" ca="1" si="7"/>
        <v>3.6959190651593456E-3</v>
      </c>
    </row>
    <row r="44" spans="1:12" x14ac:dyDescent="0.4">
      <c r="A44" s="5">
        <v>32</v>
      </c>
      <c r="B44" s="4">
        <f t="shared" si="3"/>
        <v>3.2</v>
      </c>
      <c r="C44" s="4">
        <v>10</v>
      </c>
      <c r="D44" s="8">
        <f t="shared" ca="1" si="1"/>
        <v>9.9147739072915329</v>
      </c>
      <c r="E44" s="4">
        <f t="shared" ca="1" si="4"/>
        <v>-0.10880743823467359</v>
      </c>
      <c r="F44" s="4">
        <f t="shared" ca="1" si="9"/>
        <v>1.270060170273909E-2</v>
      </c>
      <c r="G44" s="4">
        <f t="shared" ca="1" si="9"/>
        <v>6.1843360471768638E-2</v>
      </c>
      <c r="H44" s="8">
        <f t="shared" ca="1" si="0"/>
        <v>6.7300531866226199E-2</v>
      </c>
      <c r="I44" s="4">
        <f t="shared" ca="1" si="6"/>
        <v>1.094461506968881E-2</v>
      </c>
      <c r="J44" s="4">
        <f t="shared" si="8"/>
        <v>0</v>
      </c>
      <c r="K44" s="8">
        <f t="shared" ca="1" si="2"/>
        <v>1.658020674934255E-2</v>
      </c>
      <c r="L44" s="8">
        <f t="shared" ca="1" si="7"/>
        <v>5.6355916796537392E-3</v>
      </c>
    </row>
    <row r="45" spans="1:12" x14ac:dyDescent="0.4">
      <c r="A45" s="5">
        <v>33</v>
      </c>
      <c r="B45" s="4">
        <f t="shared" si="3"/>
        <v>3.3000000000000003</v>
      </c>
      <c r="C45" s="4">
        <v>10</v>
      </c>
      <c r="D45" s="8">
        <f t="shared" ca="1" si="1"/>
        <v>10.085691173645468</v>
      </c>
      <c r="E45" s="4">
        <f t="shared" ca="1" si="4"/>
        <v>7.2990571942729315E-2</v>
      </c>
      <c r="F45" s="4">
        <f t="shared" ca="1" si="9"/>
        <v>1.9999658897012024E-2</v>
      </c>
      <c r="G45" s="4">
        <f t="shared" ca="1" si="9"/>
        <v>6.3843326361469846E-2</v>
      </c>
      <c r="H45" s="8">
        <f t="shared" ca="1" si="0"/>
        <v>5.7071387113936022E-2</v>
      </c>
      <c r="I45" s="4">
        <f t="shared" ca="1" si="6"/>
        <v>1.1508174237654184E-2</v>
      </c>
      <c r="J45" s="4">
        <f t="shared" si="8"/>
        <v>0</v>
      </c>
      <c r="K45" s="8">
        <f t="shared" ca="1" si="2"/>
        <v>1.6064495525282368E-2</v>
      </c>
      <c r="L45" s="8">
        <f t="shared" ca="1" si="7"/>
        <v>4.5563212876281838E-3</v>
      </c>
    </row>
    <row r="46" spans="1:12" x14ac:dyDescent="0.4">
      <c r="A46" s="5">
        <v>34</v>
      </c>
      <c r="B46" s="4">
        <f t="shared" si="3"/>
        <v>3.4000000000000004</v>
      </c>
      <c r="C46" s="4">
        <v>10</v>
      </c>
      <c r="D46" s="8">
        <f t="shared" ca="1" si="1"/>
        <v>10.013369160931706</v>
      </c>
      <c r="E46" s="4">
        <f t="shared" ca="1" si="4"/>
        <v>-6.630497965305876E-3</v>
      </c>
      <c r="F46" s="4">
        <f t="shared" ref="F46:G61" ca="1" si="10">F45+E46*$E$2</f>
        <v>1.9336609100481437E-2</v>
      </c>
      <c r="G46" s="4">
        <f t="shared" ca="1" si="10"/>
        <v>6.5776987271517984E-2</v>
      </c>
      <c r="H46" s="8">
        <f t="shared" ca="1" si="0"/>
        <v>7.4038164931850503E-2</v>
      </c>
      <c r="I46" s="4">
        <f t="shared" ca="1" si="6"/>
        <v>1.1963806366417003E-2</v>
      </c>
      <c r="J46" s="4">
        <f t="shared" si="8"/>
        <v>0</v>
      </c>
      <c r="K46" s="8">
        <f t="shared" ca="1" si="2"/>
        <v>1.8171242222960356E-2</v>
      </c>
      <c r="L46" s="8">
        <f t="shared" ca="1" si="7"/>
        <v>6.20743585654335E-3</v>
      </c>
    </row>
    <row r="47" spans="1:12" x14ac:dyDescent="0.4">
      <c r="A47" s="5">
        <v>35</v>
      </c>
      <c r="B47" s="4">
        <f t="shared" si="3"/>
        <v>3.5</v>
      </c>
      <c r="C47" s="4">
        <v>10</v>
      </c>
      <c r="D47" s="8">
        <f t="shared" ca="1" si="1"/>
        <v>10.092657593283702</v>
      </c>
      <c r="E47" s="4">
        <f t="shared" ca="1" si="4"/>
        <v>7.3320984183220722E-2</v>
      </c>
      <c r="F47" s="4">
        <f t="shared" ca="1" si="10"/>
        <v>2.666870751880351E-2</v>
      </c>
      <c r="G47" s="4">
        <f t="shared" ca="1" si="10"/>
        <v>6.8443858023398335E-2</v>
      </c>
      <c r="H47" s="8">
        <f t="shared" ca="1" si="0"/>
        <v>6.1047231563481928E-2</v>
      </c>
      <c r="I47" s="4">
        <f t="shared" ca="1" si="6"/>
        <v>1.2584549952071339E-2</v>
      </c>
      <c r="J47" s="4">
        <f t="shared" si="8"/>
        <v>0</v>
      </c>
      <c r="K47" s="8">
        <f t="shared" ca="1" si="2"/>
        <v>1.7430818113212398E-2</v>
      </c>
      <c r="L47" s="8">
        <f t="shared" ca="1" si="7"/>
        <v>4.8462681611410588E-3</v>
      </c>
    </row>
    <row r="48" spans="1:12" x14ac:dyDescent="0.4">
      <c r="A48" s="5">
        <v>36</v>
      </c>
      <c r="B48" s="4">
        <f t="shared" si="3"/>
        <v>3.6</v>
      </c>
      <c r="C48" s="4">
        <v>10</v>
      </c>
      <c r="D48" s="8">
        <f t="shared" ca="1" si="1"/>
        <v>9.9790031926792739</v>
      </c>
      <c r="E48" s="4">
        <f t="shared" ca="1" si="4"/>
        <v>-4.7665514839529577E-2</v>
      </c>
      <c r="F48" s="4">
        <f t="shared" ca="1" si="10"/>
        <v>2.1902156034850552E-2</v>
      </c>
      <c r="G48" s="4">
        <f t="shared" ca="1" si="10"/>
        <v>7.0634073626883384E-2</v>
      </c>
      <c r="H48" s="8">
        <f t="shared" ca="1" si="0"/>
        <v>6.3887258229075539E-2</v>
      </c>
      <c r="I48" s="4">
        <f t="shared" ca="1" si="6"/>
        <v>1.3069176768185444E-2</v>
      </c>
      <c r="J48" s="4">
        <f t="shared" si="8"/>
        <v>0</v>
      </c>
      <c r="K48" s="8">
        <f t="shared" ca="1" si="2"/>
        <v>1.8150984914274453E-2</v>
      </c>
      <c r="L48" s="8">
        <f t="shared" ca="1" si="7"/>
        <v>5.0818081460890091E-3</v>
      </c>
    </row>
    <row r="49" spans="1:12" x14ac:dyDescent="0.4">
      <c r="A49" s="5">
        <v>37</v>
      </c>
      <c r="B49" s="4">
        <f t="shared" si="3"/>
        <v>3.7</v>
      </c>
      <c r="C49" s="4">
        <v>10</v>
      </c>
      <c r="D49" s="8">
        <f t="shared" ca="1" si="1"/>
        <v>10.017776279201264</v>
      </c>
      <c r="E49" s="4">
        <f t="shared" ca="1" si="4"/>
        <v>-4.1258768335862075E-3</v>
      </c>
      <c r="F49" s="4">
        <f t="shared" ca="1" si="10"/>
        <v>2.148956835149193E-2</v>
      </c>
      <c r="G49" s="4">
        <f t="shared" ca="1" si="10"/>
        <v>7.2783030462032577E-2</v>
      </c>
      <c r="H49" s="8">
        <f t="shared" ca="1" si="0"/>
        <v>9.1819387453810769E-2</v>
      </c>
      <c r="I49" s="4">
        <f t="shared" ca="1" si="6"/>
        <v>1.3577357582794346E-2</v>
      </c>
      <c r="J49" s="4">
        <f t="shared" si="8"/>
        <v>0</v>
      </c>
      <c r="K49" s="8">
        <f t="shared" ca="1" si="2"/>
        <v>2.1401560569895988E-2</v>
      </c>
      <c r="L49" s="8">
        <f t="shared" ca="1" si="7"/>
        <v>7.8242029871016406E-3</v>
      </c>
    </row>
    <row r="50" spans="1:12" x14ac:dyDescent="0.4">
      <c r="A50" s="5">
        <v>38</v>
      </c>
      <c r="B50" s="4">
        <f t="shared" si="3"/>
        <v>3.8000000000000003</v>
      </c>
      <c r="C50" s="4">
        <v>10</v>
      </c>
      <c r="D50" s="8">
        <f t="shared" ca="1" si="1"/>
        <v>9.9877179154840494</v>
      </c>
      <c r="E50" s="4">
        <f t="shared" ca="1" si="4"/>
        <v>-3.377165286744252E-2</v>
      </c>
      <c r="F50" s="4">
        <f t="shared" ca="1" si="10"/>
        <v>1.8112403064747679E-2</v>
      </c>
      <c r="G50" s="4">
        <f t="shared" ca="1" si="10"/>
        <v>7.4594270768507345E-2</v>
      </c>
      <c r="H50" s="8">
        <f t="shared" ca="1" si="0"/>
        <v>7.2486814903195126E-2</v>
      </c>
      <c r="I50" s="4">
        <f t="shared" ca="1" si="6"/>
        <v>1.4359777881504509E-2</v>
      </c>
      <c r="J50" s="4">
        <f t="shared" si="8"/>
        <v>0</v>
      </c>
      <c r="K50" s="8">
        <f t="shared" ca="1" si="2"/>
        <v>2.017248158367357E-2</v>
      </c>
      <c r="L50" s="8">
        <f t="shared" ca="1" si="7"/>
        <v>5.8127037021690605E-3</v>
      </c>
    </row>
    <row r="51" spans="1:12" x14ac:dyDescent="0.4">
      <c r="A51" s="5">
        <v>39</v>
      </c>
      <c r="B51" s="4">
        <f t="shared" si="3"/>
        <v>3.9000000000000004</v>
      </c>
      <c r="C51" s="4">
        <v>10</v>
      </c>
      <c r="D51" s="8">
        <f t="shared" ca="1" si="1"/>
        <v>9.9882824115687558</v>
      </c>
      <c r="E51" s="4">
        <f t="shared" ca="1" si="4"/>
        <v>-2.9829991495991831E-2</v>
      </c>
      <c r="F51" s="4">
        <f t="shared" ca="1" si="10"/>
        <v>1.5129403915148495E-2</v>
      </c>
      <c r="G51" s="4">
        <f t="shared" ca="1" si="10"/>
        <v>7.6107211160022198E-2</v>
      </c>
      <c r="H51" s="8">
        <f t="shared" ca="1" si="0"/>
        <v>8.5457542422863297E-2</v>
      </c>
      <c r="I51" s="4">
        <f t="shared" ca="1" si="6"/>
        <v>1.4941048251721415E-2</v>
      </c>
      <c r="J51" s="4">
        <f t="shared" si="8"/>
        <v>0</v>
      </c>
      <c r="K51" s="8">
        <f t="shared" ca="1" si="2"/>
        <v>2.1992697668835604E-2</v>
      </c>
      <c r="L51" s="8">
        <f t="shared" ca="1" si="7"/>
        <v>7.0516494171141879E-3</v>
      </c>
    </row>
    <row r="52" spans="1:12" x14ac:dyDescent="0.4">
      <c r="A52" s="5">
        <v>40</v>
      </c>
      <c r="B52" s="4">
        <f t="shared" si="3"/>
        <v>4</v>
      </c>
      <c r="C52" s="4">
        <v>10</v>
      </c>
      <c r="D52" s="8">
        <f t="shared" ca="1" si="1"/>
        <v>9.8247996748083466</v>
      </c>
      <c r="E52" s="4">
        <f t="shared" ca="1" si="4"/>
        <v>-0.1903297291068019</v>
      </c>
      <c r="F52" s="4">
        <f t="shared" ca="1" si="10"/>
        <v>-3.9035689955316984E-3</v>
      </c>
      <c r="G52" s="4">
        <f t="shared" ca="1" si="10"/>
        <v>7.5716854260469021E-2</v>
      </c>
      <c r="H52" s="8">
        <f t="shared" ca="1" si="0"/>
        <v>7.3296603401037774E-2</v>
      </c>
      <c r="I52" s="4">
        <f t="shared" ca="1" si="6"/>
        <v>1.5646213193432835E-2</v>
      </c>
      <c r="J52" s="4">
        <f t="shared" si="8"/>
        <v>0</v>
      </c>
      <c r="K52" s="8">
        <f t="shared" ca="1" si="2"/>
        <v>2.1411252214193328E-2</v>
      </c>
      <c r="L52" s="8">
        <f t="shared" ca="1" si="7"/>
        <v>5.7650390207604936E-3</v>
      </c>
    </row>
    <row r="53" spans="1:12" x14ac:dyDescent="0.4">
      <c r="A53" s="5">
        <v>41</v>
      </c>
      <c r="B53" s="4">
        <f t="shared" si="3"/>
        <v>4.1000000000000005</v>
      </c>
      <c r="C53" s="4">
        <v>10</v>
      </c>
      <c r="D53" s="8">
        <f t="shared" ca="1" si="1"/>
        <v>10.001917181738493</v>
      </c>
      <c r="E53" s="4">
        <f t="shared" ca="1" si="4"/>
        <v>5.8207507340250104E-3</v>
      </c>
      <c r="F53" s="4">
        <f t="shared" ca="1" si="10"/>
        <v>-3.3214939221291972E-3</v>
      </c>
      <c r="G53" s="4">
        <f t="shared" ca="1" si="10"/>
        <v>7.5384704868256103E-2</v>
      </c>
      <c r="H53" s="8">
        <f t="shared" ca="1" si="0"/>
        <v>9.3594424278458724E-2</v>
      </c>
      <c r="I53" s="4">
        <f t="shared" ca="1" si="6"/>
        <v>1.6222717095508883E-2</v>
      </c>
      <c r="J53" s="4">
        <f t="shared" si="8"/>
        <v>0</v>
      </c>
      <c r="K53" s="8">
        <f t="shared" ca="1" si="2"/>
        <v>2.3959887813803867E-2</v>
      </c>
      <c r="L53" s="8">
        <f t="shared" ca="1" si="7"/>
        <v>7.7371707182949832E-3</v>
      </c>
    </row>
    <row r="54" spans="1:12" x14ac:dyDescent="0.4">
      <c r="A54" s="5">
        <v>42</v>
      </c>
      <c r="B54" s="4">
        <f t="shared" si="3"/>
        <v>4.2</v>
      </c>
      <c r="C54" s="4">
        <v>10</v>
      </c>
      <c r="D54" s="8">
        <f t="shared" ca="1" si="1"/>
        <v>10.010624606149472</v>
      </c>
      <c r="E54" s="4">
        <f t="shared" ca="1" si="4"/>
        <v>1.3946100071601113E-2</v>
      </c>
      <c r="F54" s="4">
        <f t="shared" ca="1" si="10"/>
        <v>-1.9268839149690859E-3</v>
      </c>
      <c r="G54" s="4">
        <f t="shared" ca="1" si="10"/>
        <v>7.5192016476759188E-2</v>
      </c>
      <c r="H54" s="8">
        <f t="shared" ca="1" si="0"/>
        <v>8.2325119060617444E-2</v>
      </c>
      <c r="I54" s="4">
        <f t="shared" ca="1" si="6"/>
        <v>1.699643416733838E-2</v>
      </c>
      <c r="J54" s="4">
        <f t="shared" si="8"/>
        <v>0</v>
      </c>
      <c r="K54" s="8">
        <f t="shared" ca="1" si="2"/>
        <v>2.3529302656666286E-2</v>
      </c>
      <c r="L54" s="8">
        <f t="shared" ca="1" si="7"/>
        <v>6.5328684893279053E-3</v>
      </c>
    </row>
    <row r="55" spans="1:12" x14ac:dyDescent="0.4">
      <c r="A55" s="5">
        <v>43</v>
      </c>
      <c r="B55" s="4">
        <f t="shared" si="3"/>
        <v>4.3</v>
      </c>
      <c r="C55" s="4">
        <v>10</v>
      </c>
      <c r="D55" s="8">
        <f t="shared" ca="1" si="1"/>
        <v>10.030958970148165</v>
      </c>
      <c r="E55" s="4">
        <f t="shared" ca="1" si="4"/>
        <v>3.2885854063133595E-2</v>
      </c>
      <c r="F55" s="4">
        <f t="shared" ca="1" si="10"/>
        <v>1.361701491344274E-3</v>
      </c>
      <c r="G55" s="4">
        <f t="shared" ca="1" si="10"/>
        <v>7.532818662589362E-2</v>
      </c>
      <c r="H55" s="8">
        <f t="shared" ca="1" si="0"/>
        <v>6.9584757718248402E-2</v>
      </c>
      <c r="I55" s="4">
        <f t="shared" ca="1" si="6"/>
        <v>1.7649721016271172E-2</v>
      </c>
      <c r="J55" s="4">
        <f t="shared" si="8"/>
        <v>0</v>
      </c>
      <c r="K55" s="8">
        <f t="shared" ca="1" si="2"/>
        <v>2.2843224686468894E-2</v>
      </c>
      <c r="L55" s="8">
        <f t="shared" ca="1" si="7"/>
        <v>5.1935036701977232E-3</v>
      </c>
    </row>
    <row r="56" spans="1:12" x14ac:dyDescent="0.4">
      <c r="A56" s="5">
        <v>44</v>
      </c>
      <c r="B56" s="4">
        <f t="shared" si="3"/>
        <v>4.4000000000000004</v>
      </c>
      <c r="C56" s="4">
        <v>10</v>
      </c>
      <c r="D56" s="8">
        <f t="shared" ca="1" si="1"/>
        <v>9.9123957248889667</v>
      </c>
      <c r="E56" s="4">
        <f t="shared" ca="1" si="4"/>
        <v>-8.8965976602377581E-2</v>
      </c>
      <c r="F56" s="4">
        <f t="shared" ca="1" si="10"/>
        <v>-7.5348961688934835E-3</v>
      </c>
      <c r="G56" s="4">
        <f t="shared" ca="1" si="10"/>
        <v>7.4574697009004265E-2</v>
      </c>
      <c r="H56" s="8">
        <f t="shared" ca="1" si="0"/>
        <v>6.513318291201188E-2</v>
      </c>
      <c r="I56" s="4">
        <f t="shared" ca="1" si="6"/>
        <v>1.8169071383290946E-2</v>
      </c>
      <c r="J56" s="4">
        <f t="shared" si="8"/>
        <v>0</v>
      </c>
      <c r="K56" s="8">
        <f t="shared" ca="1" si="2"/>
        <v>2.2865482536163041E-2</v>
      </c>
      <c r="L56" s="8">
        <f t="shared" ca="1" si="7"/>
        <v>4.6964111528720928E-3</v>
      </c>
    </row>
    <row r="57" spans="1:12" x14ac:dyDescent="0.4">
      <c r="A57" s="5">
        <v>45</v>
      </c>
      <c r="B57" s="4">
        <f t="shared" si="3"/>
        <v>4.5</v>
      </c>
      <c r="C57" s="4">
        <v>10</v>
      </c>
      <c r="D57" s="8">
        <f t="shared" ca="1" si="1"/>
        <v>9.8500107176683489</v>
      </c>
      <c r="E57" s="4">
        <f t="shared" ca="1" si="4"/>
        <v>-0.1424543861627576</v>
      </c>
      <c r="F57" s="4">
        <f t="shared" ca="1" si="10"/>
        <v>-2.1780334785169244E-2</v>
      </c>
      <c r="G57" s="4">
        <f t="shared" ca="1" si="10"/>
        <v>7.2396663530487335E-2</v>
      </c>
      <c r="H57" s="8">
        <f t="shared" ca="1" si="0"/>
        <v>6.7444860319616148E-2</v>
      </c>
      <c r="I57" s="4">
        <f t="shared" ca="1" si="6"/>
        <v>1.8638712498578156E-2</v>
      </c>
      <c r="J57" s="4">
        <f t="shared" si="8"/>
        <v>0</v>
      </c>
      <c r="K57" s="8">
        <f t="shared" ca="1" si="2"/>
        <v>2.3519327280681956E-2</v>
      </c>
      <c r="L57" s="8">
        <f t="shared" ca="1" si="7"/>
        <v>4.8806147821037994E-3</v>
      </c>
    </row>
    <row r="58" spans="1:12" x14ac:dyDescent="0.4">
      <c r="A58" s="5">
        <v>46</v>
      </c>
      <c r="B58" s="4">
        <f t="shared" si="3"/>
        <v>4.6000000000000005</v>
      </c>
      <c r="C58" s="4">
        <v>10</v>
      </c>
      <c r="D58" s="8">
        <f t="shared" ca="1" si="1"/>
        <v>10.092662153359768</v>
      </c>
      <c r="E58" s="4">
        <f t="shared" ca="1" si="4"/>
        <v>0.11444248814493749</v>
      </c>
      <c r="F58" s="4">
        <f t="shared" ca="1" si="10"/>
        <v>-1.0336085970675495E-2</v>
      </c>
      <c r="G58" s="4">
        <f t="shared" ca="1" si="10"/>
        <v>7.1363054933419781E-2</v>
      </c>
      <c r="H58" s="8">
        <f t="shared" ca="1" si="0"/>
        <v>6.807228435189018E-2</v>
      </c>
      <c r="I58" s="4">
        <f t="shared" ca="1" si="6"/>
        <v>1.9126773976788535E-2</v>
      </c>
      <c r="J58" s="4">
        <f t="shared" si="8"/>
        <v>0</v>
      </c>
      <c r="K58" s="8">
        <f t="shared" ca="1" si="2"/>
        <v>2.4021325014298701E-2</v>
      </c>
      <c r="L58" s="8">
        <f t="shared" ca="1" si="7"/>
        <v>4.8945510375101638E-3</v>
      </c>
    </row>
    <row r="59" spans="1:12" x14ac:dyDescent="0.4">
      <c r="A59" s="5">
        <v>47</v>
      </c>
      <c r="B59" s="4">
        <f t="shared" si="3"/>
        <v>4.7</v>
      </c>
      <c r="C59" s="4">
        <v>10</v>
      </c>
      <c r="D59" s="8">
        <f t="shared" ca="1" si="1"/>
        <v>10.087245339117914</v>
      </c>
      <c r="E59" s="4">
        <f t="shared" ca="1" si="4"/>
        <v>9.7581425088589038E-2</v>
      </c>
      <c r="F59" s="4">
        <f t="shared" ca="1" si="10"/>
        <v>-5.7794346181659108E-4</v>
      </c>
      <c r="G59" s="4">
        <f t="shared" ca="1" si="10"/>
        <v>7.1305260587238128E-2</v>
      </c>
      <c r="H59" s="8">
        <f t="shared" ca="1" si="0"/>
        <v>8.0937675898413178E-2</v>
      </c>
      <c r="I59" s="4">
        <f t="shared" ca="1" si="6"/>
        <v>1.9616229080539553E-2</v>
      </c>
      <c r="J59" s="4">
        <f t="shared" si="8"/>
        <v>0</v>
      </c>
      <c r="K59" s="8">
        <f t="shared" ca="1" si="2"/>
        <v>2.5748373762326915E-2</v>
      </c>
      <c r="L59" s="8">
        <f t="shared" ca="1" si="7"/>
        <v>6.1321446817873626E-3</v>
      </c>
    </row>
    <row r="60" spans="1:12" x14ac:dyDescent="0.4">
      <c r="A60" s="5">
        <v>48</v>
      </c>
      <c r="B60" s="4">
        <f t="shared" si="3"/>
        <v>4.8000000000000007</v>
      </c>
      <c r="C60" s="4">
        <v>10</v>
      </c>
      <c r="D60" s="8">
        <f t="shared" ca="1" si="1"/>
        <v>9.852318583918299</v>
      </c>
      <c r="E60" s="4">
        <f t="shared" ca="1" si="4"/>
        <v>-0.14710347261988446</v>
      </c>
      <c r="F60" s="4">
        <f t="shared" ca="1" si="10"/>
        <v>-1.5288290723805038E-2</v>
      </c>
      <c r="G60" s="4">
        <f t="shared" ca="1" si="10"/>
        <v>6.9776431514857629E-2</v>
      </c>
      <c r="H60" s="8">
        <f t="shared" ca="1" si="0"/>
        <v>7.6395788611815479E-2</v>
      </c>
      <c r="I60" s="4">
        <f t="shared" ca="1" si="6"/>
        <v>2.0229443548718289E-2</v>
      </c>
      <c r="J60" s="4">
        <f t="shared" si="8"/>
        <v>0</v>
      </c>
      <c r="K60" s="8">
        <f t="shared" ca="1" si="2"/>
        <v>2.5846078055028008E-2</v>
      </c>
      <c r="L60" s="8">
        <f t="shared" ca="1" si="7"/>
        <v>5.6166345063097187E-3</v>
      </c>
    </row>
    <row r="61" spans="1:12" x14ac:dyDescent="0.4">
      <c r="A61" s="5">
        <v>49</v>
      </c>
      <c r="B61" s="4">
        <f t="shared" si="3"/>
        <v>4.9000000000000004</v>
      </c>
      <c r="C61" s="4">
        <v>10</v>
      </c>
      <c r="D61" s="8">
        <f t="shared" ca="1" si="1"/>
        <v>9.9963012121546413</v>
      </c>
      <c r="E61" s="4">
        <f t="shared" ca="1" si="4"/>
        <v>1.1589502878446329E-2</v>
      </c>
      <c r="F61" s="4">
        <f t="shared" ca="1" si="10"/>
        <v>-1.4129340435960406E-2</v>
      </c>
      <c r="G61" s="4">
        <f t="shared" ca="1" si="10"/>
        <v>6.8363497471261594E-2</v>
      </c>
      <c r="H61" s="8">
        <f t="shared" ca="1" si="0"/>
        <v>5.9925008705009955E-2</v>
      </c>
      <c r="I61" s="4">
        <f t="shared" ca="1" si="6"/>
        <v>2.079110699934926E-2</v>
      </c>
      <c r="J61" s="4">
        <f t="shared" si="8"/>
        <v>0</v>
      </c>
      <c r="K61" s="8">
        <f t="shared" ca="1" si="2"/>
        <v>2.4704497169915331E-2</v>
      </c>
      <c r="L61" s="8">
        <f t="shared" ca="1" si="7"/>
        <v>3.9133901705660692E-3</v>
      </c>
    </row>
    <row r="62" spans="1:12" x14ac:dyDescent="0.4">
      <c r="A62" s="5">
        <v>50</v>
      </c>
      <c r="B62" s="4">
        <f t="shared" si="3"/>
        <v>5</v>
      </c>
      <c r="C62" s="4">
        <v>10</v>
      </c>
      <c r="D62" s="8">
        <f t="shared" ca="1" si="1"/>
        <v>10.067264171937246</v>
      </c>
      <c r="E62" s="4">
        <f t="shared" ca="1" si="4"/>
        <v>8.1393512373206842E-2</v>
      </c>
      <c r="F62" s="4">
        <f t="shared" ref="F62:G77" ca="1" si="11">F61+E62*$E$2</f>
        <v>-5.9899891986397204E-3</v>
      </c>
      <c r="G62" s="4">
        <f t="shared" ca="1" si="11"/>
        <v>6.7764498551397628E-2</v>
      </c>
      <c r="H62" s="8">
        <f t="shared" ca="1" si="0"/>
        <v>6.3296492250204617E-2</v>
      </c>
      <c r="I62" s="4">
        <f t="shared" ca="1" si="6"/>
        <v>2.1182446016405867E-2</v>
      </c>
      <c r="J62" s="4">
        <f t="shared" si="8"/>
        <v>0</v>
      </c>
      <c r="K62" s="8">
        <f t="shared" ca="1" si="2"/>
        <v>2.5393850639785741E-2</v>
      </c>
      <c r="L62" s="8">
        <f t="shared" ca="1" si="7"/>
        <v>4.2114046233798748E-3</v>
      </c>
    </row>
    <row r="63" spans="1:12" x14ac:dyDescent="0.4">
      <c r="A63" s="5">
        <v>51</v>
      </c>
      <c r="B63" s="4">
        <f t="shared" si="3"/>
        <v>5.1000000000000005</v>
      </c>
      <c r="C63" s="4">
        <v>10</v>
      </c>
      <c r="D63" s="8">
        <f t="shared" ca="1" si="1"/>
        <v>10.01780330640503</v>
      </c>
      <c r="E63" s="4">
        <f t="shared" ca="1" si="4"/>
        <v>2.3793295603669749E-2</v>
      </c>
      <c r="F63" s="4">
        <f t="shared" ca="1" si="11"/>
        <v>-3.6106596382727454E-3</v>
      </c>
      <c r="G63" s="4">
        <f t="shared" ca="1" si="11"/>
        <v>6.7403432587570353E-2</v>
      </c>
      <c r="H63" s="8">
        <f t="shared" ca="1" si="0"/>
        <v>8.4996961727605291E-2</v>
      </c>
      <c r="I63" s="4">
        <f t="shared" ca="1" si="6"/>
        <v>2.1603586478743855E-2</v>
      </c>
      <c r="J63" s="4">
        <f t="shared" si="8"/>
        <v>0</v>
      </c>
      <c r="K63" s="8">
        <f t="shared" ca="1" si="2"/>
        <v>2.794292400363E-2</v>
      </c>
      <c r="L63" s="8">
        <f t="shared" ca="1" si="7"/>
        <v>6.3393375248861428E-3</v>
      </c>
    </row>
    <row r="64" spans="1:12" x14ac:dyDescent="0.4">
      <c r="A64" s="5">
        <v>52</v>
      </c>
      <c r="B64" s="4">
        <f t="shared" si="3"/>
        <v>5.2</v>
      </c>
      <c r="C64" s="4">
        <v>10</v>
      </c>
      <c r="D64" s="8">
        <f t="shared" ca="1" si="1"/>
        <v>10.046927210565016</v>
      </c>
      <c r="E64" s="4">
        <f t="shared" ca="1" si="4"/>
        <v>5.0537870203288995E-2</v>
      </c>
      <c r="F64" s="4">
        <f t="shared" ca="1" si="11"/>
        <v>1.4431273820561543E-3</v>
      </c>
      <c r="G64" s="4">
        <f t="shared" ca="1" si="11"/>
        <v>6.7547745325775968E-2</v>
      </c>
      <c r="H64" s="8">
        <f t="shared" ca="1" si="0"/>
        <v>8.226920725027756E-2</v>
      </c>
      <c r="I64" s="4">
        <f t="shared" ca="1" si="6"/>
        <v>2.2237520231232467E-2</v>
      </c>
      <c r="J64" s="4">
        <f t="shared" si="8"/>
        <v>0</v>
      </c>
      <c r="K64" s="8">
        <f t="shared" ca="1" si="2"/>
        <v>2.8240688933136977E-2</v>
      </c>
      <c r="L64" s="8">
        <f t="shared" ca="1" si="7"/>
        <v>6.0031687019045082E-3</v>
      </c>
    </row>
    <row r="65" spans="1:12" x14ac:dyDescent="0.4">
      <c r="A65" s="5">
        <v>53</v>
      </c>
      <c r="B65" s="4">
        <f t="shared" si="3"/>
        <v>5.3000000000000007</v>
      </c>
      <c r="C65" s="4">
        <v>10</v>
      </c>
      <c r="D65" s="8">
        <f t="shared" ca="1" si="1"/>
        <v>10.077854739731611</v>
      </c>
      <c r="E65" s="4">
        <f t="shared" ca="1" si="4"/>
        <v>7.6411612349555236E-2</v>
      </c>
      <c r="F65" s="4">
        <f t="shared" ca="1" si="11"/>
        <v>9.084288617011679E-3</v>
      </c>
      <c r="G65" s="4">
        <f t="shared" ca="1" si="11"/>
        <v>6.845617418747714E-2</v>
      </c>
      <c r="H65" s="8">
        <f t="shared" ca="1" si="0"/>
        <v>6.0861489965463228E-2</v>
      </c>
      <c r="I65" s="4">
        <f t="shared" ca="1" si="6"/>
        <v>2.2837837101422918E-2</v>
      </c>
      <c r="J65" s="4">
        <f t="shared" si="8"/>
        <v>0</v>
      </c>
      <c r="K65" s="8">
        <f t="shared" ca="1" si="2"/>
        <v>2.6640202387826949E-2</v>
      </c>
      <c r="L65" s="8">
        <f t="shared" ca="1" si="7"/>
        <v>3.802365286404031E-3</v>
      </c>
    </row>
    <row r="66" spans="1:12" x14ac:dyDescent="0.4">
      <c r="A66" s="5">
        <v>54</v>
      </c>
      <c r="B66" s="4">
        <f t="shared" si="3"/>
        <v>5.4</v>
      </c>
      <c r="C66" s="4">
        <v>10</v>
      </c>
      <c r="D66" s="8">
        <f t="shared" ca="1" si="1"/>
        <v>10.164208858632142</v>
      </c>
      <c r="E66" s="4">
        <f t="shared" ca="1" si="4"/>
        <v>0.15512457001513005</v>
      </c>
      <c r="F66" s="4">
        <f t="shared" ca="1" si="11"/>
        <v>2.4596745618524686E-2</v>
      </c>
      <c r="G66" s="4">
        <f t="shared" ca="1" si="11"/>
        <v>7.0915848749329602E-2</v>
      </c>
      <c r="H66" s="8">
        <f t="shared" ca="1" si="0"/>
        <v>6.0403114489817361E-2</v>
      </c>
      <c r="I66" s="4">
        <f t="shared" ca="1" si="6"/>
        <v>2.321807363006332E-2</v>
      </c>
      <c r="J66" s="4">
        <f t="shared" si="8"/>
        <v>0</v>
      </c>
      <c r="K66" s="8">
        <f t="shared" ca="1" si="2"/>
        <v>2.6936577716038725E-2</v>
      </c>
      <c r="L66" s="8">
        <f t="shared" ca="1" si="7"/>
        <v>3.718504085975404E-3</v>
      </c>
    </row>
    <row r="67" spans="1:12" x14ac:dyDescent="0.4">
      <c r="A67" s="5">
        <v>55</v>
      </c>
      <c r="B67" s="4">
        <f t="shared" si="3"/>
        <v>5.5</v>
      </c>
      <c r="C67" s="4">
        <v>10</v>
      </c>
      <c r="D67" s="8">
        <f t="shared" ca="1" si="1"/>
        <v>10.030406794461555</v>
      </c>
      <c r="E67" s="4">
        <f t="shared" ca="1" si="4"/>
        <v>5.8100488430306782E-3</v>
      </c>
      <c r="F67" s="4">
        <f t="shared" ca="1" si="11"/>
        <v>2.5177750502827754E-2</v>
      </c>
      <c r="G67" s="4">
        <f t="shared" ca="1" si="11"/>
        <v>7.343362379961238E-2</v>
      </c>
      <c r="H67" s="8">
        <f t="shared" ca="1" si="0"/>
        <v>8.4565775025672404E-2</v>
      </c>
      <c r="I67" s="4">
        <f t="shared" ca="1" si="6"/>
        <v>2.3589924038660861E-2</v>
      </c>
      <c r="J67" s="4">
        <f t="shared" si="8"/>
        <v>0</v>
      </c>
      <c r="K67" s="8">
        <f t="shared" ca="1" si="2"/>
        <v>2.9687509137362015E-2</v>
      </c>
      <c r="L67" s="8">
        <f t="shared" ca="1" si="7"/>
        <v>6.0975850987011531E-3</v>
      </c>
    </row>
    <row r="68" spans="1:12" x14ac:dyDescent="0.4">
      <c r="A68" s="5">
        <v>56</v>
      </c>
      <c r="B68" s="4">
        <f t="shared" si="3"/>
        <v>5.6000000000000005</v>
      </c>
      <c r="C68" s="4">
        <v>10</v>
      </c>
      <c r="D68" s="8">
        <f t="shared" ca="1" si="1"/>
        <v>10.0651775888571</v>
      </c>
      <c r="E68" s="4">
        <f t="shared" ca="1" si="4"/>
        <v>3.9999838354272482E-2</v>
      </c>
      <c r="F68" s="4">
        <f t="shared" ca="1" si="11"/>
        <v>2.9177734338255004E-2</v>
      </c>
      <c r="G68" s="4">
        <f t="shared" ca="1" si="11"/>
        <v>7.6351397233437882E-2</v>
      </c>
      <c r="H68" s="8">
        <f t="shared" ca="1" si="0"/>
        <v>5.9460961710483547E-2</v>
      </c>
      <c r="I68" s="4">
        <f t="shared" ca="1" si="6"/>
        <v>2.4199682548530978E-2</v>
      </c>
      <c r="J68" s="4">
        <f t="shared" si="8"/>
        <v>0</v>
      </c>
      <c r="K68" s="8">
        <f t="shared" ca="1" si="2"/>
        <v>2.7725810464726233E-2</v>
      </c>
      <c r="L68" s="8">
        <f t="shared" ca="1" si="7"/>
        <v>3.5261279161952568E-3</v>
      </c>
    </row>
    <row r="69" spans="1:12" x14ac:dyDescent="0.4">
      <c r="A69" s="5">
        <v>57</v>
      </c>
      <c r="B69" s="4">
        <f t="shared" si="3"/>
        <v>5.7</v>
      </c>
      <c r="C69" s="4">
        <v>10</v>
      </c>
      <c r="D69" s="8">
        <f t="shared" ca="1" si="1"/>
        <v>10.065254593941622</v>
      </c>
      <c r="E69" s="4">
        <f t="shared" ca="1" si="4"/>
        <v>3.607685960336747E-2</v>
      </c>
      <c r="F69" s="4">
        <f t="shared" ca="1" si="11"/>
        <v>3.2785420298591751E-2</v>
      </c>
      <c r="G69" s="4">
        <f t="shared" ca="1" si="11"/>
        <v>7.9629939263297062E-2</v>
      </c>
      <c r="H69" s="8">
        <f t="shared" ca="1" si="0"/>
        <v>9.2713182229862218E-2</v>
      </c>
      <c r="I69" s="4">
        <f t="shared" ca="1" si="6"/>
        <v>2.4552295340150503E-2</v>
      </c>
      <c r="J69" s="4">
        <f t="shared" si="8"/>
        <v>0</v>
      </c>
      <c r="K69" s="8">
        <f t="shared" ca="1" si="2"/>
        <v>3.1368384029121676E-2</v>
      </c>
      <c r="L69" s="8">
        <f t="shared" ca="1" si="7"/>
        <v>6.8160886889711706E-3</v>
      </c>
    </row>
    <row r="70" spans="1:12" x14ac:dyDescent="0.4">
      <c r="A70" s="5">
        <v>58</v>
      </c>
      <c r="B70" s="4">
        <f t="shared" si="3"/>
        <v>5.8000000000000007</v>
      </c>
      <c r="C70" s="4">
        <v>10</v>
      </c>
      <c r="D70" s="8">
        <f t="shared" ca="1" si="1"/>
        <v>10.037409829494971</v>
      </c>
      <c r="E70" s="4">
        <f t="shared" ca="1" si="4"/>
        <v>4.6244091963789855E-3</v>
      </c>
      <c r="F70" s="4">
        <f t="shared" ca="1" si="11"/>
        <v>3.3247861218229646E-2</v>
      </c>
      <c r="G70" s="4">
        <f t="shared" ca="1" si="11"/>
        <v>8.2954725385120026E-2</v>
      </c>
      <c r="H70" s="8">
        <f t="shared" ca="1" si="0"/>
        <v>6.8347546043438789E-2</v>
      </c>
      <c r="I70" s="4">
        <f t="shared" ca="1" si="6"/>
        <v>2.5233904209047621E-2</v>
      </c>
      <c r="J70" s="4">
        <f t="shared" si="8"/>
        <v>0</v>
      </c>
      <c r="K70" s="8">
        <f t="shared" ca="1" si="2"/>
        <v>2.9545268392486737E-2</v>
      </c>
      <c r="L70" s="8">
        <f t="shared" ca="1" si="7"/>
        <v>4.311364183439117E-3</v>
      </c>
    </row>
    <row r="71" spans="1:12" x14ac:dyDescent="0.4">
      <c r="A71" s="5">
        <v>59</v>
      </c>
      <c r="B71" s="4">
        <f t="shared" si="3"/>
        <v>5.9</v>
      </c>
      <c r="C71" s="4">
        <v>10</v>
      </c>
      <c r="D71" s="8">
        <f t="shared" ca="1" si="1"/>
        <v>9.9137151902804135</v>
      </c>
      <c r="E71" s="4">
        <f t="shared" ca="1" si="4"/>
        <v>-0.11953267093781617</v>
      </c>
      <c r="F71" s="4">
        <f t="shared" ca="1" si="11"/>
        <v>2.1294594124448028E-2</v>
      </c>
      <c r="G71" s="4">
        <f t="shared" ca="1" si="11"/>
        <v>8.5084184797564827E-2</v>
      </c>
      <c r="H71" s="8">
        <f t="shared" ca="1" si="0"/>
        <v>9.6053313856977657E-2</v>
      </c>
      <c r="I71" s="4">
        <f t="shared" ca="1" si="6"/>
        <v>2.5665040627391531E-2</v>
      </c>
      <c r="J71" s="4">
        <f t="shared" si="8"/>
        <v>0</v>
      </c>
      <c r="K71" s="8">
        <f t="shared" ca="1" si="2"/>
        <v>3.2703867950350143E-2</v>
      </c>
      <c r="L71" s="8">
        <f t="shared" ca="1" si="7"/>
        <v>7.0388273229586122E-3</v>
      </c>
    </row>
    <row r="72" spans="1:12" x14ac:dyDescent="0.4">
      <c r="A72" s="5">
        <v>60</v>
      </c>
      <c r="B72" s="4">
        <f t="shared" si="3"/>
        <v>6</v>
      </c>
      <c r="C72" s="4">
        <v>10</v>
      </c>
      <c r="D72" s="8">
        <f t="shared" ca="1" si="1"/>
        <v>10.15394304184912</v>
      </c>
      <c r="E72" s="4">
        <f t="shared" ca="1" si="4"/>
        <v>0.13264844772467163</v>
      </c>
      <c r="F72" s="4">
        <f t="shared" ca="1" si="11"/>
        <v>3.4559438896915193E-2</v>
      </c>
      <c r="G72" s="4">
        <f t="shared" ca="1" si="11"/>
        <v>8.8540128687256345E-2</v>
      </c>
      <c r="H72" s="8">
        <f t="shared" ca="1" si="0"/>
        <v>8.6416506487459535E-2</v>
      </c>
      <c r="I72" s="4">
        <f t="shared" ca="1" si="6"/>
        <v>2.6368923359687393E-2</v>
      </c>
      <c r="J72" s="4">
        <f t="shared" si="8"/>
        <v>0</v>
      </c>
      <c r="K72" s="8">
        <f t="shared" ca="1" si="2"/>
        <v>3.2373681672464606E-2</v>
      </c>
      <c r="L72" s="8">
        <f t="shared" ca="1" si="7"/>
        <v>6.0047583127772136E-3</v>
      </c>
    </row>
    <row r="73" spans="1:12" x14ac:dyDescent="0.4">
      <c r="A73" s="5">
        <v>61</v>
      </c>
      <c r="B73" s="4">
        <f t="shared" si="3"/>
        <v>6.1000000000000005</v>
      </c>
      <c r="C73" s="4">
        <v>10</v>
      </c>
      <c r="D73" s="8">
        <f t="shared" ca="1" si="1"/>
        <v>10.089241825546624</v>
      </c>
      <c r="E73" s="4">
        <f t="shared" ca="1" si="4"/>
        <v>5.4682386649709105E-2</v>
      </c>
      <c r="F73" s="4">
        <f t="shared" ca="1" si="11"/>
        <v>4.0027677561886105E-2</v>
      </c>
      <c r="G73" s="4">
        <f t="shared" ca="1" si="11"/>
        <v>9.2542896443444961E-2</v>
      </c>
      <c r="H73" s="8">
        <f t="shared" ca="1" si="0"/>
        <v>9.4162755508367738E-2</v>
      </c>
      <c r="I73" s="4">
        <f t="shared" ca="1" si="6"/>
        <v>2.6969399190965113E-2</v>
      </c>
      <c r="J73" s="4">
        <f t="shared" si="8"/>
        <v>0</v>
      </c>
      <c r="K73" s="8">
        <f t="shared" ca="1" si="2"/>
        <v>3.3688734822705374E-2</v>
      </c>
      <c r="L73" s="8">
        <f t="shared" ca="1" si="7"/>
        <v>6.7193356317402624E-3</v>
      </c>
    </row>
    <row r="74" spans="1:12" x14ac:dyDescent="0.4">
      <c r="A74" s="5">
        <v>62</v>
      </c>
      <c r="B74" s="4">
        <f t="shared" si="3"/>
        <v>6.2</v>
      </c>
      <c r="C74" s="4">
        <v>10</v>
      </c>
      <c r="D74" s="8">
        <f t="shared" ca="1" si="1"/>
        <v>9.9443681888490811</v>
      </c>
      <c r="E74" s="4">
        <f t="shared" ca="1" si="4"/>
        <v>-9.5659488712804969E-2</v>
      </c>
      <c r="F74" s="4">
        <f t="shared" ca="1" si="11"/>
        <v>3.0461728690605608E-2</v>
      </c>
      <c r="G74" s="4">
        <f t="shared" ca="1" si="11"/>
        <v>9.558906931250552E-2</v>
      </c>
      <c r="H74" s="8">
        <f t="shared" ca="1" si="0"/>
        <v>0.10140796517167469</v>
      </c>
      <c r="I74" s="4">
        <f t="shared" ca="1" si="6"/>
        <v>2.7641332754139141E-2</v>
      </c>
      <c r="J74" s="4">
        <f t="shared" si="8"/>
        <v>0</v>
      </c>
      <c r="K74" s="8">
        <f t="shared" ca="1" si="2"/>
        <v>3.5017995995892698E-2</v>
      </c>
      <c r="L74" s="8">
        <f t="shared" ca="1" si="7"/>
        <v>7.376663241753555E-3</v>
      </c>
    </row>
    <row r="75" spans="1:12" x14ac:dyDescent="0.4">
      <c r="A75" s="5">
        <v>63</v>
      </c>
      <c r="B75" s="4">
        <f t="shared" si="3"/>
        <v>6.3000000000000007</v>
      </c>
      <c r="C75" s="4">
        <v>10</v>
      </c>
      <c r="D75" s="8">
        <f t="shared" ca="1" si="1"/>
        <v>9.7916968821828689</v>
      </c>
      <c r="E75" s="4">
        <f t="shared" ca="1" si="4"/>
        <v>-0.23876484650773666</v>
      </c>
      <c r="F75" s="4">
        <f t="shared" ca="1" si="11"/>
        <v>6.5852440398319403E-3</v>
      </c>
      <c r="G75" s="4">
        <f t="shared" ca="1" si="11"/>
        <v>9.6247593716488708E-2</v>
      </c>
      <c r="H75" s="8">
        <f t="shared" ca="1" si="0"/>
        <v>7.5712301034636123E-2</v>
      </c>
      <c r="I75" s="4">
        <f t="shared" ca="1" si="6"/>
        <v>2.8378999078314496E-2</v>
      </c>
      <c r="J75" s="4">
        <f t="shared" si="8"/>
        <v>0</v>
      </c>
      <c r="K75" s="8">
        <f t="shared" ca="1" si="2"/>
        <v>3.311232927394666E-2</v>
      </c>
      <c r="L75" s="8">
        <f t="shared" ca="1" si="7"/>
        <v>4.7333301956321624E-3</v>
      </c>
    </row>
    <row r="76" spans="1:12" x14ac:dyDescent="0.4">
      <c r="A76" s="5">
        <v>64</v>
      </c>
      <c r="B76" s="4">
        <f t="shared" si="3"/>
        <v>6.4</v>
      </c>
      <c r="C76" s="4">
        <v>10</v>
      </c>
      <c r="D76" s="8">
        <f t="shared" ca="1" si="1"/>
        <v>10.153087568263253</v>
      </c>
      <c r="E76" s="4">
        <f t="shared" ca="1" si="4"/>
        <v>0.14650232422342072</v>
      </c>
      <c r="F76" s="4">
        <f t="shared" ca="1" si="11"/>
        <v>2.1235476462174011E-2</v>
      </c>
      <c r="G76" s="4">
        <f t="shared" ca="1" si="11"/>
        <v>9.837114136270611E-2</v>
      </c>
      <c r="H76" s="8">
        <f t="shared" ref="H76:H112" ca="1" si="12">G76+IF($C$6&lt;=0,0,_xlfn.NORM.INV(RAND(),0,$C$6))</f>
        <v>0.10494146523057538</v>
      </c>
      <c r="I76" s="4">
        <f t="shared" ca="1" si="6"/>
        <v>2.8852332097877711E-2</v>
      </c>
      <c r="J76" s="4">
        <f t="shared" si="8"/>
        <v>0</v>
      </c>
      <c r="K76" s="8">
        <f t="shared" ca="1" si="2"/>
        <v>3.646124541114748E-2</v>
      </c>
      <c r="L76" s="8">
        <f t="shared" ca="1" si="7"/>
        <v>7.6089133132697662E-3</v>
      </c>
    </row>
    <row r="77" spans="1:12" x14ac:dyDescent="0.4">
      <c r="A77" s="5">
        <v>65</v>
      </c>
      <c r="B77" s="4">
        <f t="shared" si="3"/>
        <v>6.5</v>
      </c>
      <c r="C77" s="4">
        <v>10</v>
      </c>
      <c r="D77" s="8">
        <f t="shared" ref="D77:D112" ca="1" si="13">C77+IF($B$6&lt;=0,0,_xlfn.NORM.INV(RAND(),0,$B$6))</f>
        <v>9.8268079118933969</v>
      </c>
      <c r="E77" s="4">
        <f t="shared" ca="1" si="4"/>
        <v>-0.19442756456877713</v>
      </c>
      <c r="F77" s="4">
        <f t="shared" ca="1" si="11"/>
        <v>1.7927200052962958E-3</v>
      </c>
      <c r="G77" s="4">
        <f t="shared" ca="1" si="11"/>
        <v>9.8550413363235737E-2</v>
      </c>
      <c r="H77" s="8">
        <f t="shared" ca="1" si="12"/>
        <v>0.10236168759808277</v>
      </c>
      <c r="I77" s="4">
        <f t="shared" ca="1" si="6"/>
        <v>2.9613223429204687E-2</v>
      </c>
      <c r="J77" s="4">
        <f t="shared" si="8"/>
        <v>0</v>
      </c>
      <c r="K77" s="8">
        <f t="shared" ref="K77:K112" ca="1" si="14">I77+$B$8*(H77-I77)</f>
        <v>3.6888069846092497E-2</v>
      </c>
      <c r="L77" s="8">
        <f t="shared" ca="1" si="7"/>
        <v>7.2748464168878087E-3</v>
      </c>
    </row>
    <row r="78" spans="1:12" x14ac:dyDescent="0.4">
      <c r="A78" s="5">
        <v>66</v>
      </c>
      <c r="B78" s="4">
        <f t="shared" ref="B78:B112" si="15">A78*$E$2</f>
        <v>6.6000000000000005</v>
      </c>
      <c r="C78" s="4">
        <v>10</v>
      </c>
      <c r="D78" s="8">
        <f t="shared" ca="1" si="13"/>
        <v>10.017014563512525</v>
      </c>
      <c r="E78" s="4">
        <f t="shared" ref="E78:E112" ca="1" si="16">(D78+$C$2+$D$2*F77)/$B$2</f>
        <v>1.5221843507228876E-2</v>
      </c>
      <c r="F78" s="4">
        <f t="shared" ref="F78:G93" ca="1" si="17">F77+E78*$E$2</f>
        <v>3.3149043560191833E-3</v>
      </c>
      <c r="G78" s="4">
        <f t="shared" ca="1" si="17"/>
        <v>9.8881903798837656E-2</v>
      </c>
      <c r="H78" s="8">
        <f t="shared" ca="1" si="12"/>
        <v>9.3037416590167371E-2</v>
      </c>
      <c r="I78" s="4">
        <f t="shared" ref="I78:I112" ca="1" si="18">I77+L77*$E$2</f>
        <v>3.0340708070893469E-2</v>
      </c>
      <c r="J78" s="4">
        <f t="shared" ref="J78:J112" si="19">(1+$D$2*$E$2/$B$2)*J77+$E$2*(C77+$C$2)/$B$2</f>
        <v>0</v>
      </c>
      <c r="K78" s="8">
        <f t="shared" ca="1" si="14"/>
        <v>3.661037892282086E-2</v>
      </c>
      <c r="L78" s="8">
        <f t="shared" ref="L78:L112" ca="1" si="20">J78+$C$8*(H78-I78)/$E$2</f>
        <v>6.2696708519273895E-3</v>
      </c>
    </row>
    <row r="79" spans="1:12" x14ac:dyDescent="0.4">
      <c r="A79" s="5">
        <v>67</v>
      </c>
      <c r="B79" s="4">
        <f t="shared" si="15"/>
        <v>6.7</v>
      </c>
      <c r="C79" s="4">
        <v>10</v>
      </c>
      <c r="D79" s="8">
        <f t="shared" ca="1" si="13"/>
        <v>9.9587559936781496</v>
      </c>
      <c r="E79" s="4">
        <f t="shared" ca="1" si="16"/>
        <v>-4.4558910677869615E-2</v>
      </c>
      <c r="F79" s="4">
        <f t="shared" ca="1" si="17"/>
        <v>-1.1409867117677785E-3</v>
      </c>
      <c r="G79" s="4">
        <f t="shared" ca="1" si="17"/>
        <v>9.8767805127660882E-2</v>
      </c>
      <c r="H79" s="8">
        <f t="shared" ca="1" si="12"/>
        <v>9.5382435167194482E-2</v>
      </c>
      <c r="I79" s="4">
        <f t="shared" ca="1" si="18"/>
        <v>3.0967675156086207E-2</v>
      </c>
      <c r="J79" s="4">
        <f t="shared" si="19"/>
        <v>0</v>
      </c>
      <c r="K79" s="8">
        <f t="shared" ca="1" si="14"/>
        <v>3.7409151157197035E-2</v>
      </c>
      <c r="L79" s="8">
        <f t="shared" ca="1" si="20"/>
        <v>6.4414760011108265E-3</v>
      </c>
    </row>
    <row r="80" spans="1:12" x14ac:dyDescent="0.4">
      <c r="A80" s="5">
        <v>68</v>
      </c>
      <c r="B80" s="4">
        <f t="shared" si="15"/>
        <v>6.8000000000000007</v>
      </c>
      <c r="C80" s="4">
        <v>10</v>
      </c>
      <c r="D80" s="8">
        <f t="shared" ca="1" si="13"/>
        <v>9.7441867434165808</v>
      </c>
      <c r="E80" s="4">
        <f t="shared" ca="1" si="16"/>
        <v>-0.25467226987165148</v>
      </c>
      <c r="F80" s="4">
        <f t="shared" ca="1" si="17"/>
        <v>-2.6608213698932931E-2</v>
      </c>
      <c r="G80" s="4">
        <f t="shared" ca="1" si="17"/>
        <v>9.6106983757767592E-2</v>
      </c>
      <c r="H80" s="8">
        <f t="shared" ca="1" si="12"/>
        <v>9.2254648198081379E-2</v>
      </c>
      <c r="I80" s="4">
        <f t="shared" ca="1" si="18"/>
        <v>3.161182275619729E-2</v>
      </c>
      <c r="J80" s="4">
        <f t="shared" si="19"/>
        <v>0</v>
      </c>
      <c r="K80" s="8">
        <f t="shared" ca="1" si="14"/>
        <v>3.7676105300385697E-2</v>
      </c>
      <c r="L80" s="8">
        <f t="shared" ca="1" si="20"/>
        <v>6.0642825441884086E-3</v>
      </c>
    </row>
    <row r="81" spans="1:12" x14ac:dyDescent="0.4">
      <c r="A81" s="5">
        <v>69</v>
      </c>
      <c r="B81" s="4">
        <f t="shared" si="15"/>
        <v>6.9</v>
      </c>
      <c r="C81" s="4">
        <v>10</v>
      </c>
      <c r="D81" s="8">
        <f t="shared" ca="1" si="13"/>
        <v>9.9762349735862905</v>
      </c>
      <c r="E81" s="4">
        <f t="shared" ca="1" si="16"/>
        <v>2.843187285223453E-3</v>
      </c>
      <c r="F81" s="4">
        <f t="shared" ca="1" si="17"/>
        <v>-2.6323894970410586E-2</v>
      </c>
      <c r="G81" s="4">
        <f t="shared" ca="1" si="17"/>
        <v>9.3474594260726532E-2</v>
      </c>
      <c r="H81" s="8">
        <f t="shared" ca="1" si="12"/>
        <v>9.3358559654090637E-2</v>
      </c>
      <c r="I81" s="4">
        <f t="shared" ca="1" si="18"/>
        <v>3.2218251010616129E-2</v>
      </c>
      <c r="J81" s="4">
        <f t="shared" si="19"/>
        <v>0</v>
      </c>
      <c r="K81" s="8">
        <f t="shared" ca="1" si="14"/>
        <v>3.8332281874963584E-2</v>
      </c>
      <c r="L81" s="8">
        <f t="shared" ca="1" si="20"/>
        <v>6.1140308643474498E-3</v>
      </c>
    </row>
    <row r="82" spans="1:12" x14ac:dyDescent="0.4">
      <c r="A82" s="5">
        <v>70</v>
      </c>
      <c r="B82" s="4">
        <f t="shared" si="15"/>
        <v>7</v>
      </c>
      <c r="C82" s="4">
        <v>10</v>
      </c>
      <c r="D82" s="8">
        <f t="shared" ca="1" si="13"/>
        <v>10.054965385413984</v>
      </c>
      <c r="E82" s="4">
        <f t="shared" ca="1" si="16"/>
        <v>8.1289280384395021E-2</v>
      </c>
      <c r="F82" s="4">
        <f t="shared" ca="1" si="17"/>
        <v>-1.8194966931971084E-2</v>
      </c>
      <c r="G82" s="4">
        <f t="shared" ca="1" si="17"/>
        <v>9.1655097567529417E-2</v>
      </c>
      <c r="H82" s="8">
        <f t="shared" ca="1" si="12"/>
        <v>9.9099807820865138E-2</v>
      </c>
      <c r="I82" s="4">
        <f t="shared" ca="1" si="18"/>
        <v>3.2829654097050874E-2</v>
      </c>
      <c r="J82" s="4">
        <f t="shared" si="19"/>
        <v>0</v>
      </c>
      <c r="K82" s="8">
        <f t="shared" ca="1" si="14"/>
        <v>3.9456669469432298E-2</v>
      </c>
      <c r="L82" s="8">
        <f t="shared" ca="1" si="20"/>
        <v>6.6270153723814252E-3</v>
      </c>
    </row>
    <row r="83" spans="1:12" x14ac:dyDescent="0.4">
      <c r="A83" s="5">
        <v>71</v>
      </c>
      <c r="B83" s="4">
        <f t="shared" si="15"/>
        <v>7.1000000000000005</v>
      </c>
      <c r="C83" s="4">
        <v>10</v>
      </c>
      <c r="D83" s="8">
        <f t="shared" ca="1" si="13"/>
        <v>10.063354172990344</v>
      </c>
      <c r="E83" s="4">
        <f t="shared" ca="1" si="16"/>
        <v>8.1549139922315272E-2</v>
      </c>
      <c r="F83" s="4">
        <f t="shared" ca="1" si="17"/>
        <v>-1.0040052939739556E-2</v>
      </c>
      <c r="G83" s="4">
        <f t="shared" ca="1" si="17"/>
        <v>9.0651092273555459E-2</v>
      </c>
      <c r="H83" s="8">
        <f t="shared" ca="1" si="12"/>
        <v>9.4636460670067854E-2</v>
      </c>
      <c r="I83" s="4">
        <f t="shared" ca="1" si="18"/>
        <v>3.3492355634289019E-2</v>
      </c>
      <c r="J83" s="4">
        <f t="shared" si="19"/>
        <v>0</v>
      </c>
      <c r="K83" s="8">
        <f t="shared" ca="1" si="14"/>
        <v>3.96067661378669E-2</v>
      </c>
      <c r="L83" s="8">
        <f t="shared" ca="1" si="20"/>
        <v>6.1144105035778832E-3</v>
      </c>
    </row>
    <row r="84" spans="1:12" x14ac:dyDescent="0.4">
      <c r="A84" s="5">
        <v>72</v>
      </c>
      <c r="B84" s="4">
        <f t="shared" si="15"/>
        <v>7.2</v>
      </c>
      <c r="C84" s="4">
        <v>10</v>
      </c>
      <c r="D84" s="8">
        <f t="shared" ca="1" si="13"/>
        <v>9.8427287461059532</v>
      </c>
      <c r="E84" s="4">
        <f t="shared" ca="1" si="16"/>
        <v>-0.14723120095430728</v>
      </c>
      <c r="F84" s="4">
        <f t="shared" ca="1" si="17"/>
        <v>-2.4763173035170283E-2</v>
      </c>
      <c r="G84" s="4">
        <f t="shared" ca="1" si="17"/>
        <v>8.8174774970038436E-2</v>
      </c>
      <c r="H84" s="8">
        <f t="shared" ca="1" si="12"/>
        <v>9.6728597135157496E-2</v>
      </c>
      <c r="I84" s="4">
        <f t="shared" ca="1" si="18"/>
        <v>3.410379668464681E-2</v>
      </c>
      <c r="J84" s="4">
        <f t="shared" si="19"/>
        <v>0</v>
      </c>
      <c r="K84" s="8">
        <f t="shared" ca="1" si="14"/>
        <v>4.0366276729697878E-2</v>
      </c>
      <c r="L84" s="8">
        <f t="shared" ca="1" si="20"/>
        <v>6.2624800450510687E-3</v>
      </c>
    </row>
    <row r="85" spans="1:12" x14ac:dyDescent="0.4">
      <c r="A85" s="5">
        <v>73</v>
      </c>
      <c r="B85" s="4">
        <f t="shared" si="15"/>
        <v>7.3000000000000007</v>
      </c>
      <c r="C85" s="4">
        <v>10</v>
      </c>
      <c r="D85" s="8">
        <f t="shared" ca="1" si="13"/>
        <v>10.037608750642418</v>
      </c>
      <c r="E85" s="4">
        <f t="shared" ca="1" si="16"/>
        <v>6.237192367758837E-2</v>
      </c>
      <c r="F85" s="4">
        <f t="shared" ca="1" si="17"/>
        <v>-1.8525980667411446E-2</v>
      </c>
      <c r="G85" s="4">
        <f t="shared" ca="1" si="17"/>
        <v>8.6322176903297285E-2</v>
      </c>
      <c r="H85" s="8">
        <f t="shared" ca="1" si="12"/>
        <v>7.685217153324736E-2</v>
      </c>
      <c r="I85" s="4">
        <f t="shared" ca="1" si="18"/>
        <v>3.4730044689151918E-2</v>
      </c>
      <c r="J85" s="4">
        <f t="shared" si="19"/>
        <v>0</v>
      </c>
      <c r="K85" s="8">
        <f t="shared" ca="1" si="14"/>
        <v>3.894225737356146E-2</v>
      </c>
      <c r="L85" s="8">
        <f t="shared" ca="1" si="20"/>
        <v>4.2122126844095437E-3</v>
      </c>
    </row>
    <row r="86" spans="1:12" x14ac:dyDescent="0.4">
      <c r="A86" s="5">
        <v>74</v>
      </c>
      <c r="B86" s="4">
        <f t="shared" si="15"/>
        <v>7.4</v>
      </c>
      <c r="C86" s="4">
        <v>10</v>
      </c>
      <c r="D86" s="8">
        <f t="shared" ca="1" si="13"/>
        <v>9.9249859643256215</v>
      </c>
      <c r="E86" s="4">
        <f t="shared" ca="1" si="16"/>
        <v>-5.6488055006967033E-2</v>
      </c>
      <c r="F86" s="4">
        <f t="shared" ca="1" si="17"/>
        <v>-2.4174786168108149E-2</v>
      </c>
      <c r="G86" s="4">
        <f t="shared" ca="1" si="17"/>
        <v>8.3904698286486473E-2</v>
      </c>
      <c r="H86" s="8">
        <f t="shared" ca="1" si="12"/>
        <v>8.7396772526354666E-2</v>
      </c>
      <c r="I86" s="4">
        <f t="shared" ca="1" si="18"/>
        <v>3.5151265957592874E-2</v>
      </c>
      <c r="J86" s="4">
        <f t="shared" si="19"/>
        <v>0</v>
      </c>
      <c r="K86" s="8">
        <f t="shared" ca="1" si="14"/>
        <v>4.0375816614469054E-2</v>
      </c>
      <c r="L86" s="8">
        <f t="shared" ca="1" si="20"/>
        <v>5.224550656876179E-3</v>
      </c>
    </row>
    <row r="87" spans="1:12" x14ac:dyDescent="0.4">
      <c r="A87" s="5">
        <v>75</v>
      </c>
      <c r="B87" s="4">
        <f t="shared" si="15"/>
        <v>7.5</v>
      </c>
      <c r="C87" s="4">
        <v>10</v>
      </c>
      <c r="D87" s="8">
        <f t="shared" ca="1" si="13"/>
        <v>10.150589031448703</v>
      </c>
      <c r="E87" s="4">
        <f t="shared" ca="1" si="16"/>
        <v>0.17476381761681142</v>
      </c>
      <c r="F87" s="4">
        <f t="shared" ca="1" si="17"/>
        <v>-6.6984044064270047E-3</v>
      </c>
      <c r="G87" s="4">
        <f t="shared" ca="1" si="17"/>
        <v>8.3234857845843779E-2</v>
      </c>
      <c r="H87" s="8">
        <f t="shared" ca="1" si="12"/>
        <v>9.5808526457341836E-2</v>
      </c>
      <c r="I87" s="4">
        <f t="shared" ca="1" si="18"/>
        <v>3.5673721023280494E-2</v>
      </c>
      <c r="J87" s="4">
        <f t="shared" si="19"/>
        <v>0</v>
      </c>
      <c r="K87" s="8">
        <f t="shared" ca="1" si="14"/>
        <v>4.1687201566686628E-2</v>
      </c>
      <c r="L87" s="8">
        <f t="shared" ca="1" si="20"/>
        <v>6.0134805434061342E-3</v>
      </c>
    </row>
    <row r="88" spans="1:12" x14ac:dyDescent="0.4">
      <c r="A88" s="5">
        <v>76</v>
      </c>
      <c r="B88" s="4">
        <f t="shared" si="15"/>
        <v>7.6000000000000005</v>
      </c>
      <c r="C88" s="4">
        <v>10</v>
      </c>
      <c r="D88" s="8">
        <f t="shared" ca="1" si="13"/>
        <v>9.926241113846217</v>
      </c>
      <c r="E88" s="4">
        <f t="shared" ca="1" si="16"/>
        <v>-6.7060481747356002E-2</v>
      </c>
      <c r="F88" s="4">
        <f t="shared" ca="1" si="17"/>
        <v>-1.3404452581162605E-2</v>
      </c>
      <c r="G88" s="4">
        <f t="shared" ca="1" si="17"/>
        <v>8.1894412587727519E-2</v>
      </c>
      <c r="H88" s="8">
        <f t="shared" ca="1" si="12"/>
        <v>8.1847710647957858E-2</v>
      </c>
      <c r="I88" s="4">
        <f t="shared" ca="1" si="18"/>
        <v>3.6275069077621111E-2</v>
      </c>
      <c r="J88" s="4">
        <f t="shared" si="19"/>
        <v>0</v>
      </c>
      <c r="K88" s="8">
        <f t="shared" ca="1" si="14"/>
        <v>4.0832333234654787E-2</v>
      </c>
      <c r="L88" s="8">
        <f t="shared" ca="1" si="20"/>
        <v>4.5572641570336744E-3</v>
      </c>
    </row>
    <row r="89" spans="1:12" x14ac:dyDescent="0.4">
      <c r="A89" s="5">
        <v>77</v>
      </c>
      <c r="B89" s="4">
        <f t="shared" si="15"/>
        <v>7.7</v>
      </c>
      <c r="C89" s="4">
        <v>10</v>
      </c>
      <c r="D89" s="8">
        <f t="shared" ca="1" si="13"/>
        <v>10.011660626156443</v>
      </c>
      <c r="E89" s="4">
        <f t="shared" ca="1" si="16"/>
        <v>2.5065078737605748E-2</v>
      </c>
      <c r="F89" s="4">
        <f t="shared" ca="1" si="17"/>
        <v>-1.0897944707402029E-2</v>
      </c>
      <c r="G89" s="4">
        <f t="shared" ca="1" si="17"/>
        <v>8.0804618116987317E-2</v>
      </c>
      <c r="H89" s="8">
        <f t="shared" ca="1" si="12"/>
        <v>7.6837517855617599E-2</v>
      </c>
      <c r="I89" s="4">
        <f t="shared" ca="1" si="18"/>
        <v>3.6730795493324475E-2</v>
      </c>
      <c r="J89" s="4">
        <f t="shared" si="19"/>
        <v>0</v>
      </c>
      <c r="K89" s="8">
        <f t="shared" ca="1" si="14"/>
        <v>4.0741467729553789E-2</v>
      </c>
      <c r="L89" s="8">
        <f t="shared" ca="1" si="20"/>
        <v>4.010672236229312E-3</v>
      </c>
    </row>
    <row r="90" spans="1:12" x14ac:dyDescent="0.4">
      <c r="A90" s="5">
        <v>78</v>
      </c>
      <c r="B90" s="4">
        <f t="shared" si="15"/>
        <v>7.8000000000000007</v>
      </c>
      <c r="C90" s="4">
        <v>10</v>
      </c>
      <c r="D90" s="8">
        <f t="shared" ca="1" si="13"/>
        <v>9.9886987061359331</v>
      </c>
      <c r="E90" s="4">
        <f t="shared" ca="1" si="16"/>
        <v>-4.0334915666483465E-4</v>
      </c>
      <c r="F90" s="4">
        <f t="shared" ca="1" si="17"/>
        <v>-1.0938279623068512E-2</v>
      </c>
      <c r="G90" s="4">
        <f t="shared" ca="1" si="17"/>
        <v>7.9710790154680466E-2</v>
      </c>
      <c r="H90" s="8">
        <f t="shared" ca="1" si="12"/>
        <v>9.739790942850575E-2</v>
      </c>
      <c r="I90" s="4">
        <f t="shared" ca="1" si="18"/>
        <v>3.7131862716947406E-2</v>
      </c>
      <c r="J90" s="4">
        <f t="shared" si="19"/>
        <v>0</v>
      </c>
      <c r="K90" s="8">
        <f t="shared" ca="1" si="14"/>
        <v>4.3158467388103243E-2</v>
      </c>
      <c r="L90" s="8">
        <f t="shared" ca="1" si="20"/>
        <v>6.0266046711558345E-3</v>
      </c>
    </row>
    <row r="91" spans="1:12" x14ac:dyDescent="0.4">
      <c r="A91" s="5">
        <v>79</v>
      </c>
      <c r="B91" s="4">
        <f t="shared" si="15"/>
        <v>7.9</v>
      </c>
      <c r="C91" s="4">
        <v>10</v>
      </c>
      <c r="D91" s="8">
        <f t="shared" ca="1" si="13"/>
        <v>10.231440086306684</v>
      </c>
      <c r="E91" s="4">
        <f t="shared" ca="1" si="16"/>
        <v>0.24237836592975218</v>
      </c>
      <c r="F91" s="4">
        <f t="shared" ca="1" si="17"/>
        <v>1.3299556969906708E-2</v>
      </c>
      <c r="G91" s="4">
        <f t="shared" ca="1" si="17"/>
        <v>8.1040745851671134E-2</v>
      </c>
      <c r="H91" s="8">
        <f t="shared" ca="1" si="12"/>
        <v>8.8859887805529378E-2</v>
      </c>
      <c r="I91" s="4">
        <f t="shared" ca="1" si="18"/>
        <v>3.7734523184062986E-2</v>
      </c>
      <c r="J91" s="4">
        <f t="shared" si="19"/>
        <v>0</v>
      </c>
      <c r="K91" s="8">
        <f t="shared" ca="1" si="14"/>
        <v>4.2847059646209627E-2</v>
      </c>
      <c r="L91" s="8">
        <f t="shared" ca="1" si="20"/>
        <v>5.1125364621466395E-3</v>
      </c>
    </row>
    <row r="92" spans="1:12" x14ac:dyDescent="0.4">
      <c r="A92" s="5">
        <v>80</v>
      </c>
      <c r="B92" s="4">
        <f t="shared" si="15"/>
        <v>8</v>
      </c>
      <c r="C92" s="4">
        <v>10</v>
      </c>
      <c r="D92" s="8">
        <f t="shared" ca="1" si="13"/>
        <v>10.033767262314324</v>
      </c>
      <c r="E92" s="4">
        <f t="shared" ca="1" si="16"/>
        <v>2.0467705344417435E-2</v>
      </c>
      <c r="F92" s="4">
        <f t="shared" ca="1" si="17"/>
        <v>1.5346327504348452E-2</v>
      </c>
      <c r="G92" s="4">
        <f t="shared" ca="1" si="17"/>
        <v>8.2575378602105981E-2</v>
      </c>
      <c r="H92" s="8">
        <f t="shared" ca="1" si="12"/>
        <v>6.4438075906903855E-2</v>
      </c>
      <c r="I92" s="4">
        <f t="shared" ca="1" si="18"/>
        <v>3.8245776830277647E-2</v>
      </c>
      <c r="J92" s="4">
        <f t="shared" si="19"/>
        <v>0</v>
      </c>
      <c r="K92" s="8">
        <f t="shared" ca="1" si="14"/>
        <v>4.0865006737940267E-2</v>
      </c>
      <c r="L92" s="8">
        <f t="shared" ca="1" si="20"/>
        <v>2.6192299076626207E-3</v>
      </c>
    </row>
    <row r="93" spans="1:12" x14ac:dyDescent="0.4">
      <c r="A93" s="5">
        <v>81</v>
      </c>
      <c r="B93" s="4">
        <f t="shared" si="15"/>
        <v>8.1</v>
      </c>
      <c r="C93" s="4">
        <v>10</v>
      </c>
      <c r="D93" s="8">
        <f t="shared" ca="1" si="13"/>
        <v>9.9997315734130261</v>
      </c>
      <c r="E93" s="4">
        <f t="shared" ca="1" si="16"/>
        <v>-1.5614754091322354E-2</v>
      </c>
      <c r="F93" s="4">
        <f t="shared" ca="1" si="17"/>
        <v>1.3784852095216217E-2</v>
      </c>
      <c r="G93" s="4">
        <f t="shared" ca="1" si="17"/>
        <v>8.3953863811627602E-2</v>
      </c>
      <c r="H93" s="8">
        <f t="shared" ca="1" si="12"/>
        <v>7.822433465196385E-2</v>
      </c>
      <c r="I93" s="4">
        <f t="shared" ca="1" si="18"/>
        <v>3.8507699821043913E-2</v>
      </c>
      <c r="J93" s="4">
        <f t="shared" si="19"/>
        <v>0</v>
      </c>
      <c r="K93" s="8">
        <f t="shared" ca="1" si="14"/>
        <v>4.2479363304135903E-2</v>
      </c>
      <c r="L93" s="8">
        <f t="shared" ca="1" si="20"/>
        <v>3.9716634830919938E-3</v>
      </c>
    </row>
    <row r="94" spans="1:12" x14ac:dyDescent="0.4">
      <c r="A94" s="5">
        <v>82</v>
      </c>
      <c r="B94" s="4">
        <f t="shared" si="15"/>
        <v>8.2000000000000011</v>
      </c>
      <c r="C94" s="4">
        <v>10</v>
      </c>
      <c r="D94" s="8">
        <f t="shared" ca="1" si="13"/>
        <v>9.8751050533792668</v>
      </c>
      <c r="E94" s="4">
        <f t="shared" ca="1" si="16"/>
        <v>-0.1386797987159494</v>
      </c>
      <c r="F94" s="4">
        <f t="shared" ref="F94:G109" ca="1" si="21">F93+E94*$E$2</f>
        <v>-8.3127776378724011E-5</v>
      </c>
      <c r="G94" s="4">
        <f t="shared" ca="1" si="21"/>
        <v>8.3945551033989735E-2</v>
      </c>
      <c r="H94" s="8">
        <f t="shared" ca="1" si="12"/>
        <v>8.9927276775848428E-2</v>
      </c>
      <c r="I94" s="4">
        <f t="shared" ca="1" si="18"/>
        <v>3.8904866169353111E-2</v>
      </c>
      <c r="J94" s="4">
        <f t="shared" si="19"/>
        <v>0</v>
      </c>
      <c r="K94" s="8">
        <f t="shared" ca="1" si="14"/>
        <v>4.4007107230002646E-2</v>
      </c>
      <c r="L94" s="8">
        <f t="shared" ca="1" si="20"/>
        <v>5.102241060649531E-3</v>
      </c>
    </row>
    <row r="95" spans="1:12" x14ac:dyDescent="0.4">
      <c r="A95" s="5">
        <v>83</v>
      </c>
      <c r="B95" s="4">
        <f t="shared" si="15"/>
        <v>8.3000000000000007</v>
      </c>
      <c r="C95" s="4">
        <v>10</v>
      </c>
      <c r="D95" s="8">
        <f t="shared" ca="1" si="13"/>
        <v>10.073210842905066</v>
      </c>
      <c r="E95" s="4">
        <f t="shared" ca="1" si="16"/>
        <v>7.3293970681444914E-2</v>
      </c>
      <c r="F95" s="4">
        <f t="shared" ca="1" si="21"/>
        <v>7.2462692917657674E-3</v>
      </c>
      <c r="G95" s="4">
        <f t="shared" ca="1" si="21"/>
        <v>8.467017796316631E-2</v>
      </c>
      <c r="H95" s="8">
        <f t="shared" ca="1" si="12"/>
        <v>9.0139277645456414E-2</v>
      </c>
      <c r="I95" s="4">
        <f t="shared" ca="1" si="18"/>
        <v>3.9415090275418063E-2</v>
      </c>
      <c r="J95" s="4">
        <f t="shared" si="19"/>
        <v>0</v>
      </c>
      <c r="K95" s="8">
        <f t="shared" ca="1" si="14"/>
        <v>4.4487509012421898E-2</v>
      </c>
      <c r="L95" s="8">
        <f t="shared" ca="1" si="20"/>
        <v>5.0724187370038342E-3</v>
      </c>
    </row>
    <row r="96" spans="1:12" x14ac:dyDescent="0.4">
      <c r="A96" s="5">
        <v>84</v>
      </c>
      <c r="B96" s="4">
        <f t="shared" si="15"/>
        <v>8.4</v>
      </c>
      <c r="C96" s="4">
        <v>10</v>
      </c>
      <c r="D96" s="8">
        <f t="shared" ca="1" si="13"/>
        <v>10.194921378298941</v>
      </c>
      <c r="E96" s="4">
        <f t="shared" ca="1" si="16"/>
        <v>0.18767510900717563</v>
      </c>
      <c r="F96" s="4">
        <f t="shared" ca="1" si="21"/>
        <v>2.6013780192483332E-2</v>
      </c>
      <c r="G96" s="4">
        <f t="shared" ca="1" si="21"/>
        <v>8.727155598241465E-2</v>
      </c>
      <c r="H96" s="8">
        <f t="shared" ca="1" si="12"/>
        <v>8.5258132910081996E-2</v>
      </c>
      <c r="I96" s="4">
        <f t="shared" ca="1" si="18"/>
        <v>3.9922332149118445E-2</v>
      </c>
      <c r="J96" s="4">
        <f t="shared" si="19"/>
        <v>0</v>
      </c>
      <c r="K96" s="8">
        <f t="shared" ca="1" si="14"/>
        <v>4.4455912225214798E-2</v>
      </c>
      <c r="L96" s="8">
        <f t="shared" ca="1" si="20"/>
        <v>4.5335800760963546E-3</v>
      </c>
    </row>
    <row r="97" spans="1:12" x14ac:dyDescent="0.4">
      <c r="A97" s="5">
        <v>85</v>
      </c>
      <c r="B97" s="4">
        <f t="shared" si="15"/>
        <v>8.5</v>
      </c>
      <c r="C97" s="4">
        <v>10</v>
      </c>
      <c r="D97" s="8">
        <f t="shared" ca="1" si="13"/>
        <v>9.893739650498782</v>
      </c>
      <c r="E97" s="4">
        <f t="shared" ca="1" si="16"/>
        <v>-0.13227412969370131</v>
      </c>
      <c r="F97" s="4">
        <f t="shared" ca="1" si="21"/>
        <v>1.27863672231132E-2</v>
      </c>
      <c r="G97" s="4">
        <f t="shared" ca="1" si="21"/>
        <v>8.8550192704725972E-2</v>
      </c>
      <c r="H97" s="8">
        <f t="shared" ca="1" si="12"/>
        <v>7.595308673693657E-2</v>
      </c>
      <c r="I97" s="4">
        <f t="shared" ca="1" si="18"/>
        <v>4.0375690156728081E-2</v>
      </c>
      <c r="J97" s="4">
        <f t="shared" si="19"/>
        <v>0</v>
      </c>
      <c r="K97" s="8">
        <f t="shared" ca="1" si="14"/>
        <v>4.3933429814748931E-2</v>
      </c>
      <c r="L97" s="8">
        <f t="shared" ca="1" si="20"/>
        <v>3.5577396580208486E-3</v>
      </c>
    </row>
    <row r="98" spans="1:12" x14ac:dyDescent="0.4">
      <c r="A98" s="5">
        <v>86</v>
      </c>
      <c r="B98" s="4">
        <f t="shared" si="15"/>
        <v>8.6</v>
      </c>
      <c r="C98" s="4">
        <v>10</v>
      </c>
      <c r="D98" s="8">
        <f t="shared" ca="1" si="13"/>
        <v>10.036199288820647</v>
      </c>
      <c r="E98" s="4">
        <f t="shared" ca="1" si="16"/>
        <v>2.3412921597534067E-2</v>
      </c>
      <c r="F98" s="4">
        <f t="shared" ca="1" si="21"/>
        <v>1.5127659382866606E-2</v>
      </c>
      <c r="G98" s="4">
        <f t="shared" ca="1" si="21"/>
        <v>9.0062958643012628E-2</v>
      </c>
      <c r="H98" s="8">
        <f t="shared" ca="1" si="12"/>
        <v>9.1468425099505229E-2</v>
      </c>
      <c r="I98" s="4">
        <f t="shared" ca="1" si="18"/>
        <v>4.0731464122530169E-2</v>
      </c>
      <c r="J98" s="4">
        <f t="shared" si="19"/>
        <v>0</v>
      </c>
      <c r="K98" s="8">
        <f t="shared" ca="1" si="14"/>
        <v>4.5805160220227674E-2</v>
      </c>
      <c r="L98" s="8">
        <f t="shared" ca="1" si="20"/>
        <v>5.0736960976975063E-3</v>
      </c>
    </row>
    <row r="99" spans="1:12" x14ac:dyDescent="0.4">
      <c r="A99" s="5">
        <v>87</v>
      </c>
      <c r="B99" s="4">
        <f t="shared" si="15"/>
        <v>8.7000000000000011</v>
      </c>
      <c r="C99" s="4">
        <v>10</v>
      </c>
      <c r="D99" s="8">
        <f t="shared" ca="1" si="13"/>
        <v>10.046613368167293</v>
      </c>
      <c r="E99" s="4">
        <f t="shared" ca="1" si="16"/>
        <v>3.1485708784426282E-2</v>
      </c>
      <c r="F99" s="4">
        <f t="shared" ca="1" si="21"/>
        <v>1.8276230261309236E-2</v>
      </c>
      <c r="G99" s="4">
        <f t="shared" ca="1" si="21"/>
        <v>9.1890581669143545E-2</v>
      </c>
      <c r="H99" s="8">
        <f t="shared" ca="1" si="12"/>
        <v>8.2184566885878357E-2</v>
      </c>
      <c r="I99" s="4">
        <f t="shared" ca="1" si="18"/>
        <v>4.1238833732299918E-2</v>
      </c>
      <c r="J99" s="4">
        <f t="shared" si="19"/>
        <v>0</v>
      </c>
      <c r="K99" s="8">
        <f t="shared" ca="1" si="14"/>
        <v>4.5333407047657759E-2</v>
      </c>
      <c r="L99" s="8">
        <f t="shared" ca="1" si="20"/>
        <v>4.0945733153578438E-3</v>
      </c>
    </row>
    <row r="100" spans="1:12" x14ac:dyDescent="0.4">
      <c r="A100" s="5">
        <v>88</v>
      </c>
      <c r="B100" s="4">
        <f t="shared" si="15"/>
        <v>8.8000000000000007</v>
      </c>
      <c r="C100" s="4">
        <v>10</v>
      </c>
      <c r="D100" s="8">
        <f t="shared" ca="1" si="13"/>
        <v>10.047016067737161</v>
      </c>
      <c r="E100" s="4">
        <f t="shared" ca="1" si="16"/>
        <v>2.8739837475851703E-2</v>
      </c>
      <c r="F100" s="4">
        <f t="shared" ca="1" si="21"/>
        <v>2.1150214008894407E-2</v>
      </c>
      <c r="G100" s="4">
        <f t="shared" ca="1" si="21"/>
        <v>9.4005603070032986E-2</v>
      </c>
      <c r="H100" s="8">
        <f t="shared" ca="1" si="12"/>
        <v>9.848788228332267E-2</v>
      </c>
      <c r="I100" s="4">
        <f t="shared" ca="1" si="18"/>
        <v>4.1648291063835705E-2</v>
      </c>
      <c r="J100" s="4">
        <f t="shared" si="19"/>
        <v>0</v>
      </c>
      <c r="K100" s="8">
        <f t="shared" ca="1" si="14"/>
        <v>4.7332250185784401E-2</v>
      </c>
      <c r="L100" s="8">
        <f t="shared" ca="1" si="20"/>
        <v>5.6839591219486956E-3</v>
      </c>
    </row>
    <row r="101" spans="1:12" x14ac:dyDescent="0.4">
      <c r="A101" s="5">
        <v>89</v>
      </c>
      <c r="B101" s="4">
        <f t="shared" si="15"/>
        <v>8.9</v>
      </c>
      <c r="C101" s="4">
        <v>10</v>
      </c>
      <c r="D101" s="8">
        <f t="shared" ca="1" si="13"/>
        <v>10.110369151824543</v>
      </c>
      <c r="E101" s="4">
        <f t="shared" ca="1" si="16"/>
        <v>8.9218937815648242E-2</v>
      </c>
      <c r="F101" s="4">
        <f t="shared" ca="1" si="21"/>
        <v>3.0072107790459233E-2</v>
      </c>
      <c r="G101" s="4">
        <f t="shared" ca="1" si="21"/>
        <v>9.7012813849078908E-2</v>
      </c>
      <c r="H101" s="8">
        <f t="shared" ca="1" si="12"/>
        <v>0.11050831945023339</v>
      </c>
      <c r="I101" s="4">
        <f t="shared" ca="1" si="18"/>
        <v>4.2216686976030572E-2</v>
      </c>
      <c r="J101" s="4">
        <f t="shared" si="19"/>
        <v>0</v>
      </c>
      <c r="K101" s="8">
        <f t="shared" ca="1" si="14"/>
        <v>4.9045850223450857E-2</v>
      </c>
      <c r="L101" s="8">
        <f t="shared" ca="1" si="20"/>
        <v>6.8291632474202805E-3</v>
      </c>
    </row>
    <row r="102" spans="1:12" x14ac:dyDescent="0.4">
      <c r="A102" s="5">
        <v>90</v>
      </c>
      <c r="B102" s="4">
        <f t="shared" si="15"/>
        <v>9</v>
      </c>
      <c r="C102" s="4">
        <v>10</v>
      </c>
      <c r="D102" s="8">
        <f t="shared" ca="1" si="13"/>
        <v>9.8525349795196497</v>
      </c>
      <c r="E102" s="4">
        <f t="shared" ca="1" si="16"/>
        <v>-0.1775371282708095</v>
      </c>
      <c r="F102" s="4">
        <f t="shared" ca="1" si="21"/>
        <v>1.2318394963378283E-2</v>
      </c>
      <c r="G102" s="4">
        <f t="shared" ca="1" si="21"/>
        <v>9.8244653345416738E-2</v>
      </c>
      <c r="H102" s="8">
        <f t="shared" ca="1" si="12"/>
        <v>9.7014318246659889E-2</v>
      </c>
      <c r="I102" s="4">
        <f t="shared" ca="1" si="18"/>
        <v>4.2899603300772603E-2</v>
      </c>
      <c r="J102" s="4">
        <f t="shared" si="19"/>
        <v>0</v>
      </c>
      <c r="K102" s="8">
        <f t="shared" ca="1" si="14"/>
        <v>4.8311074795361328E-2</v>
      </c>
      <c r="L102" s="8">
        <f t="shared" ca="1" si="20"/>
        <v>5.4114714945887286E-3</v>
      </c>
    </row>
    <row r="103" spans="1:12" x14ac:dyDescent="0.4">
      <c r="A103" s="5">
        <v>91</v>
      </c>
      <c r="B103" s="4">
        <f t="shared" si="15"/>
        <v>9.1</v>
      </c>
      <c r="C103" s="4">
        <v>10</v>
      </c>
      <c r="D103" s="8">
        <f t="shared" ca="1" si="13"/>
        <v>9.8989350403808238</v>
      </c>
      <c r="E103" s="4">
        <f t="shared" ca="1" si="16"/>
        <v>-0.11338335458255444</v>
      </c>
      <c r="F103" s="4">
        <f t="shared" ca="1" si="21"/>
        <v>9.8005950512283779E-4</v>
      </c>
      <c r="G103" s="4">
        <f t="shared" ca="1" si="21"/>
        <v>9.8342659295929016E-2</v>
      </c>
      <c r="H103" s="8">
        <f t="shared" ca="1" si="12"/>
        <v>0.1175899955361079</v>
      </c>
      <c r="I103" s="4">
        <f t="shared" ca="1" si="18"/>
        <v>4.3440750450231477E-2</v>
      </c>
      <c r="J103" s="4">
        <f t="shared" si="19"/>
        <v>0</v>
      </c>
      <c r="K103" s="8">
        <f t="shared" ca="1" si="14"/>
        <v>5.0855674958819118E-2</v>
      </c>
      <c r="L103" s="8">
        <f t="shared" ca="1" si="20"/>
        <v>7.4149245085876423E-3</v>
      </c>
    </row>
    <row r="104" spans="1:12" x14ac:dyDescent="0.4">
      <c r="A104" s="5">
        <v>92</v>
      </c>
      <c r="B104" s="4">
        <f t="shared" si="15"/>
        <v>9.2000000000000011</v>
      </c>
      <c r="C104" s="4">
        <v>10</v>
      </c>
      <c r="D104" s="8">
        <f t="shared" ca="1" si="13"/>
        <v>10.218832341281805</v>
      </c>
      <c r="E104" s="4">
        <f t="shared" ca="1" si="16"/>
        <v>0.21785228177668256</v>
      </c>
      <c r="F104" s="4">
        <f t="shared" ca="1" si="21"/>
        <v>2.2765287682791097E-2</v>
      </c>
      <c r="G104" s="4">
        <f t="shared" ca="1" si="21"/>
        <v>0.10061918806420812</v>
      </c>
      <c r="H104" s="8">
        <f t="shared" ca="1" si="12"/>
        <v>9.1939311366437335E-2</v>
      </c>
      <c r="I104" s="4">
        <f t="shared" ca="1" si="18"/>
        <v>4.4182242901090241E-2</v>
      </c>
      <c r="J104" s="4">
        <f t="shared" si="19"/>
        <v>0</v>
      </c>
      <c r="K104" s="8">
        <f t="shared" ca="1" si="14"/>
        <v>4.8957949747624949E-2</v>
      </c>
      <c r="L104" s="8">
        <f t="shared" ca="1" si="20"/>
        <v>4.7757068465347089E-3</v>
      </c>
    </row>
    <row r="105" spans="1:12" x14ac:dyDescent="0.4">
      <c r="A105" s="5">
        <v>93</v>
      </c>
      <c r="B105" s="4">
        <f t="shared" si="15"/>
        <v>9.3000000000000007</v>
      </c>
      <c r="C105" s="4">
        <v>10</v>
      </c>
      <c r="D105" s="8">
        <f t="shared" ca="1" si="13"/>
        <v>9.9287570144105519</v>
      </c>
      <c r="E105" s="4">
        <f t="shared" ca="1" si="16"/>
        <v>-9.4008273272239179E-2</v>
      </c>
      <c r="F105" s="4">
        <f t="shared" ca="1" si="21"/>
        <v>1.3364460355567178E-2</v>
      </c>
      <c r="G105" s="4">
        <f t="shared" ca="1" si="21"/>
        <v>0.10195563409976484</v>
      </c>
      <c r="H105" s="8">
        <f t="shared" ca="1" si="12"/>
        <v>0.10151859576689005</v>
      </c>
      <c r="I105" s="4">
        <f t="shared" ca="1" si="18"/>
        <v>4.465981358574371E-2</v>
      </c>
      <c r="J105" s="4">
        <f t="shared" si="19"/>
        <v>0</v>
      </c>
      <c r="K105" s="8">
        <f t="shared" ca="1" si="14"/>
        <v>5.0345691803858346E-2</v>
      </c>
      <c r="L105" s="8">
        <f t="shared" ca="1" si="20"/>
        <v>5.6858782181146341E-3</v>
      </c>
    </row>
    <row r="106" spans="1:12" x14ac:dyDescent="0.4">
      <c r="A106" s="5">
        <v>94</v>
      </c>
      <c r="B106" s="4">
        <f t="shared" si="15"/>
        <v>9.4</v>
      </c>
      <c r="C106" s="4">
        <v>10</v>
      </c>
      <c r="D106" s="8">
        <f t="shared" ca="1" si="13"/>
        <v>9.8729948173780961</v>
      </c>
      <c r="E106" s="4">
        <f t="shared" ca="1" si="16"/>
        <v>-0.14036964297747104</v>
      </c>
      <c r="F106" s="4">
        <f t="shared" ca="1" si="21"/>
        <v>-6.7250394217992573E-4</v>
      </c>
      <c r="G106" s="4">
        <f t="shared" ca="1" si="21"/>
        <v>0.10188838370554684</v>
      </c>
      <c r="H106" s="8">
        <f t="shared" ca="1" si="12"/>
        <v>9.504156116202811E-2</v>
      </c>
      <c r="I106" s="4">
        <f t="shared" ca="1" si="18"/>
        <v>4.5228401407555172E-2</v>
      </c>
      <c r="J106" s="4">
        <f t="shared" si="19"/>
        <v>0</v>
      </c>
      <c r="K106" s="8">
        <f t="shared" ca="1" si="14"/>
        <v>5.0209717383002464E-2</v>
      </c>
      <c r="L106" s="8">
        <f t="shared" ca="1" si="20"/>
        <v>4.9813159754472933E-3</v>
      </c>
    </row>
    <row r="107" spans="1:12" x14ac:dyDescent="0.4">
      <c r="A107" s="5">
        <v>95</v>
      </c>
      <c r="B107" s="4">
        <f t="shared" si="15"/>
        <v>9.5</v>
      </c>
      <c r="C107" s="4">
        <v>10</v>
      </c>
      <c r="D107" s="8">
        <f t="shared" ca="1" si="13"/>
        <v>10.139061066585581</v>
      </c>
      <c r="E107" s="4">
        <f t="shared" ca="1" si="16"/>
        <v>0.13973357052776131</v>
      </c>
      <c r="F107" s="4">
        <f t="shared" ca="1" si="21"/>
        <v>1.3300853110596205E-2</v>
      </c>
      <c r="G107" s="4">
        <f t="shared" ca="1" si="21"/>
        <v>0.10321846901660646</v>
      </c>
      <c r="H107" s="8">
        <f t="shared" ca="1" si="12"/>
        <v>0.10093032285611982</v>
      </c>
      <c r="I107" s="4">
        <f t="shared" ca="1" si="18"/>
        <v>4.5726533005099899E-2</v>
      </c>
      <c r="J107" s="4">
        <f t="shared" si="19"/>
        <v>0</v>
      </c>
      <c r="K107" s="8">
        <f t="shared" ca="1" si="14"/>
        <v>5.1246911990201892E-2</v>
      </c>
      <c r="L107" s="8">
        <f t="shared" ca="1" si="20"/>
        <v>5.5203789851019916E-3</v>
      </c>
    </row>
    <row r="108" spans="1:12" x14ac:dyDescent="0.4">
      <c r="A108" s="5">
        <v>96</v>
      </c>
      <c r="B108" s="4">
        <f t="shared" si="15"/>
        <v>9.6000000000000014</v>
      </c>
      <c r="C108" s="4">
        <v>10</v>
      </c>
      <c r="D108" s="8">
        <f t="shared" ca="1" si="13"/>
        <v>10.086305654075806</v>
      </c>
      <c r="E108" s="4">
        <f t="shared" ca="1" si="16"/>
        <v>7.3004800965210059E-2</v>
      </c>
      <c r="F108" s="4">
        <f t="shared" ca="1" si="21"/>
        <v>2.0601333207117212E-2</v>
      </c>
      <c r="G108" s="4">
        <f t="shared" ca="1" si="21"/>
        <v>0.10527860233731819</v>
      </c>
      <c r="H108" s="8">
        <f t="shared" ca="1" si="12"/>
        <v>0.10927602767858741</v>
      </c>
      <c r="I108" s="4">
        <f t="shared" ca="1" si="18"/>
        <v>4.6278570903610101E-2</v>
      </c>
      <c r="J108" s="4">
        <f t="shared" si="19"/>
        <v>0</v>
      </c>
      <c r="K108" s="8">
        <f t="shared" ca="1" si="14"/>
        <v>5.2578316581107835E-2</v>
      </c>
      <c r="L108" s="8">
        <f t="shared" ca="1" si="20"/>
        <v>6.2997456774977314E-3</v>
      </c>
    </row>
    <row r="109" spans="1:12" x14ac:dyDescent="0.4">
      <c r="A109" s="5">
        <v>97</v>
      </c>
      <c r="B109" s="4">
        <f t="shared" si="15"/>
        <v>9.7000000000000011</v>
      </c>
      <c r="C109" s="4">
        <v>10</v>
      </c>
      <c r="D109" s="8">
        <f t="shared" ca="1" si="13"/>
        <v>9.9573994022668835</v>
      </c>
      <c r="E109" s="4">
        <f t="shared" ca="1" si="16"/>
        <v>-6.3201930940233741E-2</v>
      </c>
      <c r="F109" s="4">
        <f t="shared" ca="1" si="21"/>
        <v>1.4281140113093838E-2</v>
      </c>
      <c r="G109" s="4">
        <f t="shared" ca="1" si="21"/>
        <v>0.10670671634862756</v>
      </c>
      <c r="H109" s="8">
        <f t="shared" ca="1" si="12"/>
        <v>0.11915223223165806</v>
      </c>
      <c r="I109" s="4">
        <f t="shared" ca="1" si="18"/>
        <v>4.6908545471359878E-2</v>
      </c>
      <c r="J109" s="4">
        <f t="shared" si="19"/>
        <v>0</v>
      </c>
      <c r="K109" s="8">
        <f t="shared" ca="1" si="14"/>
        <v>5.4132914147389695E-2</v>
      </c>
      <c r="L109" s="8">
        <f t="shared" ca="1" si="20"/>
        <v>7.2243686760298182E-3</v>
      </c>
    </row>
    <row r="110" spans="1:12" x14ac:dyDescent="0.4">
      <c r="A110" s="5">
        <v>98</v>
      </c>
      <c r="B110" s="4">
        <f t="shared" si="15"/>
        <v>9.8000000000000007</v>
      </c>
      <c r="C110" s="4">
        <v>10</v>
      </c>
      <c r="D110" s="8">
        <f t="shared" ca="1" si="13"/>
        <v>9.9555587630269731</v>
      </c>
      <c r="E110" s="4">
        <f t="shared" ca="1" si="16"/>
        <v>-5.8722377086120769E-2</v>
      </c>
      <c r="F110" s="4">
        <f t="shared" ref="F110:G112" ca="1" si="22">F109+E110*$E$2</f>
        <v>8.4089024044817599E-3</v>
      </c>
      <c r="G110" s="4">
        <f t="shared" ca="1" si="22"/>
        <v>0.10754760658907574</v>
      </c>
      <c r="H110" s="8">
        <f t="shared" ca="1" si="12"/>
        <v>0.10609897572124238</v>
      </c>
      <c r="I110" s="4">
        <f t="shared" ca="1" si="18"/>
        <v>4.763098233896286E-2</v>
      </c>
      <c r="J110" s="4">
        <f t="shared" si="19"/>
        <v>0</v>
      </c>
      <c r="K110" s="8">
        <f t="shared" ca="1" si="14"/>
        <v>5.3477781677190812E-2</v>
      </c>
      <c r="L110" s="8">
        <f t="shared" ca="1" si="20"/>
        <v>5.8467993382279523E-3</v>
      </c>
    </row>
    <row r="111" spans="1:12" x14ac:dyDescent="0.4">
      <c r="A111" s="5">
        <v>99</v>
      </c>
      <c r="B111" s="4">
        <f t="shared" si="15"/>
        <v>9.9</v>
      </c>
      <c r="C111" s="4">
        <v>10</v>
      </c>
      <c r="D111" s="8">
        <f t="shared" ca="1" si="13"/>
        <v>9.9870237972976188</v>
      </c>
      <c r="E111" s="4">
        <f t="shared" ca="1" si="16"/>
        <v>-2.1385105106862961E-2</v>
      </c>
      <c r="F111" s="4">
        <f t="shared" ca="1" si="22"/>
        <v>6.2703918937954631E-3</v>
      </c>
      <c r="G111" s="4">
        <f t="shared" ca="1" si="22"/>
        <v>0.10817464577845529</v>
      </c>
      <c r="H111" s="8">
        <f t="shared" ca="1" si="12"/>
        <v>9.9689611138275944E-2</v>
      </c>
      <c r="I111" s="4">
        <f t="shared" ca="1" si="18"/>
        <v>4.8215662272785655E-2</v>
      </c>
      <c r="J111" s="4">
        <f t="shared" si="19"/>
        <v>0</v>
      </c>
      <c r="K111" s="8">
        <f t="shared" ca="1" si="14"/>
        <v>5.3363057159334683E-2</v>
      </c>
      <c r="L111" s="8">
        <f t="shared" ca="1" si="20"/>
        <v>5.1473948865490291E-3</v>
      </c>
    </row>
    <row r="112" spans="1:12" x14ac:dyDescent="0.4">
      <c r="A112" s="5">
        <v>100</v>
      </c>
      <c r="B112" s="4">
        <f t="shared" si="15"/>
        <v>10</v>
      </c>
      <c r="C112" s="4">
        <v>10</v>
      </c>
      <c r="D112" s="8">
        <f t="shared" ca="1" si="13"/>
        <v>9.9677720711816686</v>
      </c>
      <c r="E112" s="4">
        <f t="shared" ca="1" si="16"/>
        <v>-3.8498320712126825E-2</v>
      </c>
      <c r="F112" s="4">
        <f t="shared" ca="1" si="22"/>
        <v>2.4205598225827806E-3</v>
      </c>
      <c r="G112" s="4">
        <f t="shared" ca="1" si="22"/>
        <v>0.10841670176071357</v>
      </c>
      <c r="H112" s="8">
        <f t="shared" ca="1" si="12"/>
        <v>0.11628769816372782</v>
      </c>
      <c r="I112" s="4">
        <f t="shared" ca="1" si="18"/>
        <v>4.8730401761440556E-2</v>
      </c>
      <c r="J112" s="4">
        <f t="shared" si="19"/>
        <v>0</v>
      </c>
      <c r="K112" s="8">
        <f t="shared" ca="1" si="14"/>
        <v>5.5486131401669282E-2</v>
      </c>
      <c r="L112" s="8">
        <f t="shared" ca="1" si="20"/>
        <v>6.7557296402287262E-3</v>
      </c>
    </row>
    <row r="113" spans="8:8" x14ac:dyDescent="0.4">
      <c r="H113" s="8"/>
    </row>
  </sheetData>
  <mergeCells count="4">
    <mergeCell ref="A1:A2"/>
    <mergeCell ref="A3:A4"/>
    <mergeCell ref="A5:A6"/>
    <mergeCell ref="A7:A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8C3A-2088-47C1-9C16-96C8D6D6DF4B}">
  <dimension ref="A1:S113"/>
  <sheetViews>
    <sheetView tabSelected="1" topLeftCell="J53" zoomScale="70" zoomScaleNormal="70" workbookViewId="0">
      <selection activeCell="C9" sqref="C9"/>
    </sheetView>
  </sheetViews>
  <sheetFormatPr defaultColWidth="9.25" defaultRowHeight="20" x14ac:dyDescent="0.4"/>
  <cols>
    <col min="1" max="1" width="9.5625" style="4" bestFit="1" customWidth="1"/>
    <col min="2" max="2" width="21.3125" style="4" bestFit="1" customWidth="1"/>
    <col min="3" max="3" width="25.5625" style="4" bestFit="1" customWidth="1"/>
    <col min="4" max="4" width="24.3125" style="4" bestFit="1" customWidth="1"/>
    <col min="5" max="5" width="23.8125" style="4" bestFit="1" customWidth="1"/>
    <col min="6" max="6" width="20.0625" style="4" bestFit="1" customWidth="1"/>
    <col min="7" max="7" width="18.3125" style="4" bestFit="1" customWidth="1"/>
    <col min="8" max="8" width="25.25" style="4" bestFit="1" customWidth="1"/>
    <col min="9" max="9" width="19.0625" style="4" bestFit="1" customWidth="1"/>
    <col min="10" max="10" width="20.75" style="4" bestFit="1" customWidth="1"/>
    <col min="11" max="11" width="19.8125" style="4" bestFit="1" customWidth="1"/>
    <col min="12" max="12" width="21.5625" style="4" bestFit="1" customWidth="1"/>
    <col min="13" max="16384" width="9.25" style="4"/>
  </cols>
  <sheetData>
    <row r="1" spans="1:19" s="2" customFormat="1" x14ac:dyDescent="0.4">
      <c r="A1" s="13" t="s">
        <v>0</v>
      </c>
      <c r="B1" s="1" t="s">
        <v>7</v>
      </c>
      <c r="C1" s="1" t="s">
        <v>5</v>
      </c>
      <c r="D1" s="1" t="s">
        <v>4</v>
      </c>
      <c r="E1" s="1" t="s">
        <v>3</v>
      </c>
      <c r="F1" s="12"/>
      <c r="G1" s="12"/>
    </row>
    <row r="2" spans="1:19" s="2" customFormat="1" x14ac:dyDescent="0.4">
      <c r="A2" s="13"/>
      <c r="B2" s="2">
        <v>1</v>
      </c>
      <c r="C2" s="2">
        <v>-10</v>
      </c>
      <c r="D2" s="2">
        <v>-1</v>
      </c>
      <c r="E2" s="2">
        <v>0.1</v>
      </c>
    </row>
    <row r="3" spans="1:19" s="2" customFormat="1" x14ac:dyDescent="0.4">
      <c r="A3" s="14" t="s">
        <v>2</v>
      </c>
      <c r="B3" s="3" t="s">
        <v>6</v>
      </c>
      <c r="C3" s="3" t="s">
        <v>8</v>
      </c>
    </row>
    <row r="4" spans="1:19" s="2" customFormat="1" x14ac:dyDescent="0.4">
      <c r="A4" s="14"/>
      <c r="B4" s="2">
        <v>0</v>
      </c>
      <c r="C4" s="2">
        <v>0</v>
      </c>
    </row>
    <row r="5" spans="1:19" s="2" customFormat="1" x14ac:dyDescent="0.4">
      <c r="A5" s="15" t="s">
        <v>10</v>
      </c>
      <c r="B5" s="10" t="s">
        <v>12</v>
      </c>
      <c r="C5" s="10" t="s">
        <v>11</v>
      </c>
      <c r="D5" s="7"/>
    </row>
    <row r="6" spans="1:19" s="2" customFormat="1" x14ac:dyDescent="0.4">
      <c r="A6" s="16"/>
      <c r="B6" s="2">
        <v>0.1</v>
      </c>
      <c r="C6" s="2">
        <v>0.01</v>
      </c>
    </row>
    <row r="7" spans="1:19" s="2" customFormat="1" x14ac:dyDescent="0.4">
      <c r="A7" s="17" t="s">
        <v>0</v>
      </c>
      <c r="B7" s="11" t="s">
        <v>23</v>
      </c>
      <c r="C7" s="11" t="s">
        <v>24</v>
      </c>
    </row>
    <row r="8" spans="1:19" s="2" customFormat="1" x14ac:dyDescent="0.4">
      <c r="A8" s="18"/>
      <c r="B8" s="2">
        <v>0.1</v>
      </c>
      <c r="C8" s="2">
        <v>0.01</v>
      </c>
    </row>
    <row r="9" spans="1:19" x14ac:dyDescent="0.4">
      <c r="O9" s="2"/>
      <c r="P9" s="2"/>
      <c r="Q9" s="2"/>
      <c r="R9" s="2"/>
      <c r="S9" s="2"/>
    </row>
    <row r="10" spans="1:19" x14ac:dyDescent="0.4">
      <c r="O10" s="2"/>
      <c r="P10" s="2"/>
      <c r="Q10" s="2"/>
      <c r="R10" s="2"/>
      <c r="S10" s="2"/>
    </row>
    <row r="11" spans="1:19" x14ac:dyDescent="0.4">
      <c r="A11" s="9" t="s">
        <v>1</v>
      </c>
      <c r="B11" s="9" t="s">
        <v>9</v>
      </c>
      <c r="C11" s="9" t="s">
        <v>13</v>
      </c>
      <c r="D11" s="9" t="s">
        <v>18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22</v>
      </c>
      <c r="J11" s="9" t="s">
        <v>21</v>
      </c>
      <c r="K11" s="9" t="s">
        <v>19</v>
      </c>
      <c r="L11" s="9" t="s">
        <v>20</v>
      </c>
      <c r="O11" s="2"/>
      <c r="P11" s="2"/>
      <c r="Q11" s="2"/>
      <c r="R11" s="2"/>
      <c r="S11" s="2"/>
    </row>
    <row r="12" spans="1:19" x14ac:dyDescent="0.4">
      <c r="A12" s="5">
        <v>0</v>
      </c>
      <c r="B12" s="4">
        <v>0</v>
      </c>
      <c r="C12" s="4">
        <f>10+2*SIN(B12*2*PI()/10)</f>
        <v>10</v>
      </c>
      <c r="D12" s="8">
        <f t="shared" ref="D12:D76" ca="1" si="0">C12+IF($B$6&lt;=0,0,_xlfn.NORM.INV(RAND(),0,$B$6))</f>
        <v>10.094317904942613</v>
      </c>
      <c r="E12" s="6">
        <f ca="1">(D12+$C$2+$D$2*$B$4)/$B$2</f>
        <v>9.4317904942613495E-2</v>
      </c>
      <c r="F12" s="6">
        <f>$B$4</f>
        <v>0</v>
      </c>
      <c r="G12" s="6">
        <f>$C$4</f>
        <v>0</v>
      </c>
      <c r="H12" s="6">
        <f t="shared" ref="H12:H75" ca="1" si="1">G12+IF($C$6&lt;=0,0,_xlfn.NORM.INV(RAND(),0,$C$6))</f>
        <v>1.5496439470832298E-3</v>
      </c>
      <c r="I12" s="6">
        <f ca="1">$H$12</f>
        <v>1.5496439470832298E-3</v>
      </c>
      <c r="J12" s="6">
        <v>0</v>
      </c>
      <c r="K12" s="8">
        <f ca="1">I12+$B$8*(H12-I12)</f>
        <v>1.5496439470832298E-3</v>
      </c>
      <c r="L12" s="8">
        <f ca="1">J12+$C$8*(H12-I12)/$E$2</f>
        <v>0</v>
      </c>
      <c r="O12" s="2"/>
      <c r="P12" s="2"/>
      <c r="Q12" s="2"/>
      <c r="R12" s="2"/>
      <c r="S12" s="2"/>
    </row>
    <row r="13" spans="1:19" x14ac:dyDescent="0.4">
      <c r="A13" s="5">
        <v>1</v>
      </c>
      <c r="B13" s="4">
        <f>A13*$E$2</f>
        <v>0.1</v>
      </c>
      <c r="C13" s="4">
        <f t="shared" ref="C13:C76" si="2">10+2*SIN(B13*2*PI()/10)</f>
        <v>10.125581039058627</v>
      </c>
      <c r="D13" s="8">
        <f t="shared" ca="1" si="0"/>
        <v>10.148425736327001</v>
      </c>
      <c r="E13" s="4">
        <f ca="1">(D13+$C$2+$D$2*F12)/$B$2</f>
        <v>0.14842573632700073</v>
      </c>
      <c r="F13" s="4">
        <f ca="1">F12+E13*$E$2</f>
        <v>1.4842573632700074E-2</v>
      </c>
      <c r="G13" s="4">
        <f ca="1">G12+F13*$E$2</f>
        <v>1.4842573632700075E-3</v>
      </c>
      <c r="H13" s="8">
        <f t="shared" ca="1" si="1"/>
        <v>2.8756613018356665E-3</v>
      </c>
      <c r="I13" s="4">
        <f ca="1">I12+L12*$E$2</f>
        <v>1.5496439470832298E-3</v>
      </c>
      <c r="J13" s="4">
        <f>(1+$D$2*$E$2/$B$2)*J12+$E$2*(C12+$C$2)/$B$2</f>
        <v>0</v>
      </c>
      <c r="K13" s="8">
        <f t="shared" ref="K13:K76" ca="1" si="3">I13+$B$8*(H13-I13)</f>
        <v>1.6822456825584735E-3</v>
      </c>
      <c r="L13" s="8">
        <f ca="1">J13+$C$8*(H13-I13)/$E$2</f>
        <v>1.3260173547524365E-4</v>
      </c>
      <c r="O13" s="2"/>
      <c r="P13" s="2"/>
      <c r="Q13" s="2"/>
      <c r="R13" s="2"/>
      <c r="S13" s="2"/>
    </row>
    <row r="14" spans="1:19" x14ac:dyDescent="0.4">
      <c r="A14" s="5">
        <v>2</v>
      </c>
      <c r="B14" s="4">
        <f t="shared" ref="B14:B77" si="4">A14*$E$2</f>
        <v>0.2</v>
      </c>
      <c r="C14" s="4">
        <f t="shared" si="2"/>
        <v>10.250666467128609</v>
      </c>
      <c r="D14" s="8">
        <f t="shared" ca="1" si="0"/>
        <v>10.127958130443622</v>
      </c>
      <c r="E14" s="4">
        <f t="shared" ref="E14:E77" ca="1" si="5">(D14+$C$2+$D$2*F13)/$B$2</f>
        <v>0.11311555681092163</v>
      </c>
      <c r="F14" s="4">
        <f t="shared" ref="F14:G29" ca="1" si="6">F13+E14*$E$2</f>
        <v>2.6154129313792237E-2</v>
      </c>
      <c r="G14" s="4">
        <f t="shared" ca="1" si="6"/>
        <v>4.0996702946492318E-3</v>
      </c>
      <c r="H14" s="8">
        <f t="shared" ca="1" si="1"/>
        <v>-3.083101843800274E-3</v>
      </c>
      <c r="I14" s="4">
        <f t="shared" ref="I14:I77" ca="1" si="7">I13+L13*$E$2</f>
        <v>1.5629041206307542E-3</v>
      </c>
      <c r="J14" s="4">
        <f t="shared" ref="J14:J77" si="8">(1+$D$2*$E$2/$B$2)*J13+$E$2*(C13+$C$2)/$B$2</f>
        <v>1.2558103905862695E-2</v>
      </c>
      <c r="K14" s="8">
        <f t="shared" ca="1" si="3"/>
        <v>1.0983035241876513E-3</v>
      </c>
      <c r="L14" s="8">
        <f t="shared" ref="L14:L77" ca="1" si="9">J14+$C$8*(H14-I14)/$E$2</f>
        <v>1.2093503309419593E-2</v>
      </c>
      <c r="O14" s="2"/>
      <c r="P14" s="2"/>
      <c r="Q14" s="2"/>
      <c r="R14" s="2"/>
      <c r="S14" s="2"/>
    </row>
    <row r="15" spans="1:19" x14ac:dyDescent="0.4">
      <c r="A15" s="5">
        <v>3</v>
      </c>
      <c r="B15" s="4">
        <f t="shared" si="4"/>
        <v>0.30000000000000004</v>
      </c>
      <c r="C15" s="4">
        <f t="shared" si="2"/>
        <v>10.37476262917145</v>
      </c>
      <c r="D15" s="8">
        <f t="shared" ca="1" si="0"/>
        <v>10.354572491891695</v>
      </c>
      <c r="E15" s="4">
        <f t="shared" ca="1" si="5"/>
        <v>0.32841836257790236</v>
      </c>
      <c r="F15" s="4">
        <f t="shared" ca="1" si="6"/>
        <v>5.8995965571582473E-2</v>
      </c>
      <c r="G15" s="4">
        <f t="shared" ca="1" si="6"/>
        <v>9.9992668518074784E-3</v>
      </c>
      <c r="H15" s="8">
        <f t="shared" ca="1" si="1"/>
        <v>4.2477556676929155E-3</v>
      </c>
      <c r="I15" s="4">
        <f t="shared" ca="1" si="7"/>
        <v>2.7722544515727133E-3</v>
      </c>
      <c r="J15" s="4">
        <f t="shared" si="8"/>
        <v>3.6368940228137275E-2</v>
      </c>
      <c r="K15" s="8">
        <f ca="1">I15+$B$8*(H15-I15)</f>
        <v>2.9198045731847334E-3</v>
      </c>
      <c r="L15" s="8">
        <f t="shared" ca="1" si="9"/>
        <v>3.6516490349749298E-2</v>
      </c>
      <c r="O15" s="2"/>
      <c r="P15" s="2"/>
      <c r="Q15" s="2"/>
      <c r="R15" s="2"/>
      <c r="S15" s="2"/>
    </row>
    <row r="16" spans="1:19" x14ac:dyDescent="0.4">
      <c r="A16" s="5">
        <v>4</v>
      </c>
      <c r="B16" s="4">
        <f t="shared" si="4"/>
        <v>0.4</v>
      </c>
      <c r="C16" s="4">
        <f t="shared" si="2"/>
        <v>10.49737977432971</v>
      </c>
      <c r="D16" s="8">
        <f t="shared" ca="1" si="0"/>
        <v>10.638508730866068</v>
      </c>
      <c r="E16" s="4">
        <f t="shared" ca="1" si="5"/>
        <v>0.57951276529448548</v>
      </c>
      <c r="F16" s="4">
        <f t="shared" ca="1" si="6"/>
        <v>0.11694724210103102</v>
      </c>
      <c r="G16" s="4">
        <f t="shared" ca="1" si="6"/>
        <v>2.1693991061910584E-2</v>
      </c>
      <c r="H16" s="8">
        <f t="shared" ca="1" si="1"/>
        <v>3.0578543096653518E-2</v>
      </c>
      <c r="I16" s="4">
        <f t="shared" ca="1" si="7"/>
        <v>6.4239034865476432E-3</v>
      </c>
      <c r="J16" s="4">
        <f t="shared" si="8"/>
        <v>7.0208309122468518E-2</v>
      </c>
      <c r="K16" s="8">
        <f t="shared" ca="1" si="3"/>
        <v>8.8393674475582308E-3</v>
      </c>
      <c r="L16" s="8">
        <f t="shared" ca="1" si="9"/>
        <v>7.2623773083479101E-2</v>
      </c>
      <c r="O16" s="2"/>
      <c r="P16" s="2"/>
      <c r="Q16" s="2"/>
      <c r="R16" s="2"/>
      <c r="S16" s="2"/>
    </row>
    <row r="17" spans="1:19" x14ac:dyDescent="0.4">
      <c r="A17" s="5">
        <v>5</v>
      </c>
      <c r="B17" s="4">
        <f t="shared" si="4"/>
        <v>0.5</v>
      </c>
      <c r="C17" s="4">
        <f t="shared" si="2"/>
        <v>10.618033988749895</v>
      </c>
      <c r="D17" s="8">
        <f t="shared" ca="1" si="0"/>
        <v>10.709824008457137</v>
      </c>
      <c r="E17" s="4">
        <f t="shared" ca="1" si="5"/>
        <v>0.59287676635610553</v>
      </c>
      <c r="F17" s="4">
        <f t="shared" ca="1" si="6"/>
        <v>0.17623491873664157</v>
      </c>
      <c r="G17" s="4">
        <f t="shared" ca="1" si="6"/>
        <v>3.9317482935574743E-2</v>
      </c>
      <c r="H17" s="8">
        <f t="shared" ca="1" si="1"/>
        <v>3.9659258137459297E-2</v>
      </c>
      <c r="I17" s="4">
        <f t="shared" ca="1" si="7"/>
        <v>1.3686280794895554E-2</v>
      </c>
      <c r="J17" s="4">
        <f t="shared" si="8"/>
        <v>0.11292545564319267</v>
      </c>
      <c r="K17" s="8">
        <f t="shared" ca="1" si="3"/>
        <v>1.6283578529151931E-2</v>
      </c>
      <c r="L17" s="8">
        <f t="shared" ca="1" si="9"/>
        <v>0.11552275337744905</v>
      </c>
      <c r="O17" s="2"/>
      <c r="P17" s="2"/>
      <c r="Q17" s="2"/>
      <c r="R17" s="2"/>
      <c r="S17" s="2"/>
    </row>
    <row r="18" spans="1:19" x14ac:dyDescent="0.4">
      <c r="A18" s="5">
        <v>6</v>
      </c>
      <c r="B18" s="4">
        <f t="shared" si="4"/>
        <v>0.60000000000000009</v>
      </c>
      <c r="C18" s="4">
        <f t="shared" si="2"/>
        <v>10.736249105369357</v>
      </c>
      <c r="D18" s="8">
        <f t="shared" ca="1" si="0"/>
        <v>10.757151389533115</v>
      </c>
      <c r="E18" s="4">
        <f t="shared" ca="1" si="5"/>
        <v>0.5809164707964739</v>
      </c>
      <c r="F18" s="4">
        <f t="shared" ca="1" si="6"/>
        <v>0.23432656581628897</v>
      </c>
      <c r="G18" s="4">
        <f t="shared" ca="1" si="6"/>
        <v>6.2750139517203637E-2</v>
      </c>
      <c r="H18" s="8">
        <f t="shared" ca="1" si="1"/>
        <v>6.5874707092824003E-2</v>
      </c>
      <c r="I18" s="4">
        <f t="shared" ca="1" si="7"/>
        <v>2.523855613264046E-2</v>
      </c>
      <c r="J18" s="4">
        <f t="shared" si="8"/>
        <v>0.16343630895386291</v>
      </c>
      <c r="K18" s="8">
        <f t="shared" ca="1" si="3"/>
        <v>2.9302171228658816E-2</v>
      </c>
      <c r="L18" s="8">
        <f t="shared" ca="1" si="9"/>
        <v>0.16749992404988126</v>
      </c>
      <c r="O18" s="2"/>
    </row>
    <row r="19" spans="1:19" x14ac:dyDescent="0.4">
      <c r="A19" s="5">
        <v>7</v>
      </c>
      <c r="B19" s="4">
        <f t="shared" si="4"/>
        <v>0.70000000000000007</v>
      </c>
      <c r="C19" s="4">
        <f t="shared" si="2"/>
        <v>10.851558583130146</v>
      </c>
      <c r="D19" s="8">
        <f t="shared" ca="1" si="0"/>
        <v>10.877591460107602</v>
      </c>
      <c r="E19" s="4">
        <f t="shared" ca="1" si="5"/>
        <v>0.6432648942913135</v>
      </c>
      <c r="F19" s="4">
        <f t="shared" ca="1" si="6"/>
        <v>0.2986530552454203</v>
      </c>
      <c r="G19" s="4">
        <f t="shared" ca="1" si="6"/>
        <v>9.2615445041745667E-2</v>
      </c>
      <c r="H19" s="8">
        <f t="shared" ca="1" si="1"/>
        <v>8.2897812057886683E-2</v>
      </c>
      <c r="I19" s="4">
        <f t="shared" ca="1" si="7"/>
        <v>4.1988548537628588E-2</v>
      </c>
      <c r="J19" s="4">
        <f t="shared" si="8"/>
        <v>0.2207175885954123</v>
      </c>
      <c r="K19" s="8">
        <f t="shared" ca="1" si="3"/>
        <v>4.6079474889654401E-2</v>
      </c>
      <c r="L19" s="8">
        <f t="shared" ca="1" si="9"/>
        <v>0.22480851494743812</v>
      </c>
      <c r="O19" s="2"/>
    </row>
    <row r="20" spans="1:19" x14ac:dyDescent="0.4">
      <c r="A20" s="5">
        <v>8</v>
      </c>
      <c r="B20" s="4">
        <f t="shared" si="4"/>
        <v>0.8</v>
      </c>
      <c r="C20" s="4">
        <f t="shared" si="2"/>
        <v>10.96350734820343</v>
      </c>
      <c r="D20" s="8">
        <f t="shared" ca="1" si="0"/>
        <v>11.035759451986847</v>
      </c>
      <c r="E20" s="4">
        <f t="shared" ca="1" si="5"/>
        <v>0.73710639674142642</v>
      </c>
      <c r="F20" s="4">
        <f t="shared" ca="1" si="6"/>
        <v>0.37236369491956295</v>
      </c>
      <c r="G20" s="4">
        <f t="shared" ca="1" si="6"/>
        <v>0.12985181453370195</v>
      </c>
      <c r="H20" s="8">
        <f t="shared" ca="1" si="1"/>
        <v>0.13639175852410351</v>
      </c>
      <c r="I20" s="4">
        <f t="shared" ca="1" si="7"/>
        <v>6.4469400032372393E-2</v>
      </c>
      <c r="J20" s="4">
        <f t="shared" si="8"/>
        <v>0.28380168804888567</v>
      </c>
      <c r="K20" s="8">
        <f t="shared" ca="1" si="3"/>
        <v>7.1661635881545505E-2</v>
      </c>
      <c r="L20" s="8">
        <f t="shared" ca="1" si="9"/>
        <v>0.29099392389805878</v>
      </c>
      <c r="O20" s="2"/>
    </row>
    <row r="21" spans="1:19" x14ac:dyDescent="0.4">
      <c r="A21" s="5">
        <v>9</v>
      </c>
      <c r="B21" s="4">
        <f t="shared" si="4"/>
        <v>0.9</v>
      </c>
      <c r="C21" s="4">
        <f t="shared" si="2"/>
        <v>11.071653589957993</v>
      </c>
      <c r="D21" s="8">
        <f t="shared" ca="1" si="0"/>
        <v>11.08556043565147</v>
      </c>
      <c r="E21" s="4">
        <f t="shared" ca="1" si="5"/>
        <v>0.71319674073190664</v>
      </c>
      <c r="F21" s="4">
        <f t="shared" ca="1" si="6"/>
        <v>0.44368336899275362</v>
      </c>
      <c r="G21" s="4">
        <f t="shared" ca="1" si="6"/>
        <v>0.17422015143297731</v>
      </c>
      <c r="H21" s="8">
        <f t="shared" ca="1" si="1"/>
        <v>0.17737481535460994</v>
      </c>
      <c r="I21" s="4">
        <f t="shared" ca="1" si="7"/>
        <v>9.3568792422178276E-2</v>
      </c>
      <c r="J21" s="4">
        <f t="shared" si="8"/>
        <v>0.35177225406434015</v>
      </c>
      <c r="K21" s="8">
        <f t="shared" ca="1" si="3"/>
        <v>0.10194939471542144</v>
      </c>
      <c r="L21" s="8">
        <f t="shared" ca="1" si="9"/>
        <v>0.36015285635758332</v>
      </c>
      <c r="O21" s="2"/>
    </row>
    <row r="22" spans="1:19" x14ac:dyDescent="0.4">
      <c r="A22" s="5">
        <v>10</v>
      </c>
      <c r="B22" s="4">
        <f t="shared" si="4"/>
        <v>1</v>
      </c>
      <c r="C22" s="4">
        <f t="shared" si="2"/>
        <v>11.175570504584947</v>
      </c>
      <c r="D22" s="8">
        <f t="shared" ca="1" si="0"/>
        <v>11.337468822297637</v>
      </c>
      <c r="E22" s="4">
        <f t="shared" ca="1" si="5"/>
        <v>0.89378545330488379</v>
      </c>
      <c r="F22" s="4">
        <f t="shared" ca="1" si="6"/>
        <v>0.53306191432324201</v>
      </c>
      <c r="G22" s="4">
        <f t="shared" ca="1" si="6"/>
        <v>0.22752634286530152</v>
      </c>
      <c r="H22" s="8">
        <f t="shared" ca="1" si="1"/>
        <v>0.22967899938043052</v>
      </c>
      <c r="I22" s="4">
        <f t="shared" ca="1" si="7"/>
        <v>0.12958407805793662</v>
      </c>
      <c r="J22" s="4">
        <f t="shared" si="8"/>
        <v>0.42376038765370544</v>
      </c>
      <c r="K22" s="8">
        <f t="shared" ca="1" si="3"/>
        <v>0.13959357019018601</v>
      </c>
      <c r="L22" s="8">
        <f t="shared" ca="1" si="9"/>
        <v>0.43376987978595483</v>
      </c>
    </row>
    <row r="23" spans="1:19" x14ac:dyDescent="0.4">
      <c r="A23" s="5">
        <v>11</v>
      </c>
      <c r="B23" s="4">
        <f t="shared" si="4"/>
        <v>1.1000000000000001</v>
      </c>
      <c r="C23" s="4">
        <f t="shared" si="2"/>
        <v>11.27484797949738</v>
      </c>
      <c r="D23" s="8">
        <f t="shared" ca="1" si="0"/>
        <v>11.283162499174637</v>
      </c>
      <c r="E23" s="4">
        <f t="shared" ca="1" si="5"/>
        <v>0.75010058485139464</v>
      </c>
      <c r="F23" s="4">
        <f t="shared" ca="1" si="6"/>
        <v>0.60807197280838143</v>
      </c>
      <c r="G23" s="4">
        <f t="shared" ca="1" si="6"/>
        <v>0.28833354014613966</v>
      </c>
      <c r="H23" s="8">
        <f t="shared" ca="1" si="1"/>
        <v>0.26852546243549075</v>
      </c>
      <c r="I23" s="4">
        <f t="shared" ca="1" si="7"/>
        <v>0.17296106603653211</v>
      </c>
      <c r="J23" s="4">
        <f t="shared" si="8"/>
        <v>0.49894139934682957</v>
      </c>
      <c r="K23" s="8">
        <f t="shared" ca="1" si="3"/>
        <v>0.18251750567642797</v>
      </c>
      <c r="L23" s="8">
        <f t="shared" ca="1" si="9"/>
        <v>0.5084978389867254</v>
      </c>
    </row>
    <row r="24" spans="1:19" x14ac:dyDescent="0.4">
      <c r="A24" s="5">
        <v>12</v>
      </c>
      <c r="B24" s="4">
        <f t="shared" si="4"/>
        <v>1.2000000000000002</v>
      </c>
      <c r="C24" s="4">
        <f t="shared" si="2"/>
        <v>11.369094211857377</v>
      </c>
      <c r="D24" s="8">
        <f t="shared" ca="1" si="0"/>
        <v>11.353680114036528</v>
      </c>
      <c r="E24" s="4">
        <f t="shared" ca="1" si="5"/>
        <v>0.745608141228147</v>
      </c>
      <c r="F24" s="4">
        <f t="shared" ca="1" si="6"/>
        <v>0.68263278693119611</v>
      </c>
      <c r="G24" s="4">
        <f t="shared" ca="1" si="6"/>
        <v>0.35659681883925926</v>
      </c>
      <c r="H24" s="8">
        <f t="shared" ca="1" si="1"/>
        <v>0.34523578968877316</v>
      </c>
      <c r="I24" s="4">
        <f t="shared" ca="1" si="7"/>
        <v>0.22381084993520464</v>
      </c>
      <c r="J24" s="4">
        <f t="shared" si="8"/>
        <v>0.57653205736188462</v>
      </c>
      <c r="K24" s="8">
        <f t="shared" ca="1" si="3"/>
        <v>0.2359533439105615</v>
      </c>
      <c r="L24" s="8">
        <f t="shared" ca="1" si="9"/>
        <v>0.58867455133724145</v>
      </c>
    </row>
    <row r="25" spans="1:19" x14ac:dyDescent="0.4">
      <c r="A25" s="5">
        <v>13</v>
      </c>
      <c r="B25" s="4">
        <f t="shared" si="4"/>
        <v>1.3</v>
      </c>
      <c r="C25" s="4">
        <f t="shared" si="2"/>
        <v>11.457937254842824</v>
      </c>
      <c r="D25" s="8">
        <f t="shared" ca="1" si="0"/>
        <v>11.294557821830461</v>
      </c>
      <c r="E25" s="4">
        <f t="shared" ca="1" si="5"/>
        <v>0.61192503489926464</v>
      </c>
      <c r="F25" s="4">
        <f t="shared" ca="1" si="6"/>
        <v>0.74382529042112255</v>
      </c>
      <c r="G25" s="4">
        <f t="shared" ca="1" si="6"/>
        <v>0.43097934788137149</v>
      </c>
      <c r="H25" s="8">
        <f t="shared" ca="1" si="1"/>
        <v>0.43303606512214876</v>
      </c>
      <c r="I25" s="4">
        <f t="shared" ca="1" si="7"/>
        <v>0.28267830506892877</v>
      </c>
      <c r="J25" s="4">
        <f t="shared" si="8"/>
        <v>0.65578827281143381</v>
      </c>
      <c r="K25" s="8">
        <f t="shared" ca="1" si="3"/>
        <v>0.29771408107425079</v>
      </c>
      <c r="L25" s="8">
        <f t="shared" ca="1" si="9"/>
        <v>0.67082404881675584</v>
      </c>
    </row>
    <row r="26" spans="1:19" x14ac:dyDescent="0.4">
      <c r="A26" s="5">
        <v>14</v>
      </c>
      <c r="B26" s="4">
        <f t="shared" si="4"/>
        <v>1.4000000000000001</v>
      </c>
      <c r="C26" s="4">
        <f t="shared" si="2"/>
        <v>11.541026485551578</v>
      </c>
      <c r="D26" s="8">
        <f t="shared" ca="1" si="0"/>
        <v>11.365526240282218</v>
      </c>
      <c r="E26" s="4">
        <f t="shared" ca="1" si="5"/>
        <v>0.62170094986109559</v>
      </c>
      <c r="F26" s="4">
        <f t="shared" ca="1" si="6"/>
        <v>0.80599538540723215</v>
      </c>
      <c r="G26" s="4">
        <f t="shared" ca="1" si="6"/>
        <v>0.5115788864220947</v>
      </c>
      <c r="H26" s="8">
        <f t="shared" ca="1" si="1"/>
        <v>0.51295659320976772</v>
      </c>
      <c r="I26" s="4">
        <f t="shared" ca="1" si="7"/>
        <v>0.34976070995060438</v>
      </c>
      <c r="J26" s="4">
        <f t="shared" si="8"/>
        <v>0.7360031710145728</v>
      </c>
      <c r="K26" s="8">
        <f t="shared" ca="1" si="3"/>
        <v>0.36608029827652072</v>
      </c>
      <c r="L26" s="8">
        <f t="shared" ca="1" si="9"/>
        <v>0.75232275934048909</v>
      </c>
    </row>
    <row r="27" spans="1:19" x14ac:dyDescent="0.4">
      <c r="A27" s="5">
        <v>15</v>
      </c>
      <c r="B27" s="4">
        <f t="shared" si="4"/>
        <v>1.5</v>
      </c>
      <c r="C27" s="4">
        <f t="shared" si="2"/>
        <v>11.618033988749895</v>
      </c>
      <c r="D27" s="8">
        <f t="shared" ca="1" si="0"/>
        <v>11.623409488897497</v>
      </c>
      <c r="E27" s="4">
        <f t="shared" ca="1" si="5"/>
        <v>0.81741410349026511</v>
      </c>
      <c r="F27" s="4">
        <f t="shared" ca="1" si="6"/>
        <v>0.88773679575625863</v>
      </c>
      <c r="G27" s="4">
        <f t="shared" ca="1" si="6"/>
        <v>0.60035256599772058</v>
      </c>
      <c r="H27" s="8">
        <f t="shared" ca="1" si="1"/>
        <v>0.62099728390238229</v>
      </c>
      <c r="I27" s="4">
        <f t="shared" ca="1" si="7"/>
        <v>0.42499298588465328</v>
      </c>
      <c r="J27" s="4">
        <f t="shared" si="8"/>
        <v>0.81650550246827325</v>
      </c>
      <c r="K27" s="8">
        <f t="shared" ca="1" si="3"/>
        <v>0.44459341568642619</v>
      </c>
      <c r="L27" s="8">
        <f t="shared" ca="1" si="9"/>
        <v>0.83610593227004615</v>
      </c>
    </row>
    <row r="28" spans="1:19" x14ac:dyDescent="0.4">
      <c r="A28" s="5">
        <v>16</v>
      </c>
      <c r="B28" s="4">
        <f t="shared" si="4"/>
        <v>1.6</v>
      </c>
      <c r="C28" s="4">
        <f t="shared" si="2"/>
        <v>11.688655851004031</v>
      </c>
      <c r="D28" s="8">
        <f t="shared" ca="1" si="0"/>
        <v>11.580909235303412</v>
      </c>
      <c r="E28" s="4">
        <f t="shared" ca="1" si="5"/>
        <v>0.6931724395471538</v>
      </c>
      <c r="F28" s="4">
        <f t="shared" ca="1" si="6"/>
        <v>0.95705403971097402</v>
      </c>
      <c r="G28" s="4">
        <f t="shared" ca="1" si="6"/>
        <v>0.69605796996881797</v>
      </c>
      <c r="H28" s="8">
        <f t="shared" ca="1" si="1"/>
        <v>0.68972870629591843</v>
      </c>
      <c r="I28" s="4">
        <f t="shared" ca="1" si="7"/>
        <v>0.50860357911165788</v>
      </c>
      <c r="J28" s="4">
        <f t="shared" si="8"/>
        <v>0.89665835109643544</v>
      </c>
      <c r="K28" s="8">
        <f t="shared" ca="1" si="3"/>
        <v>0.52671609183008394</v>
      </c>
      <c r="L28" s="8">
        <f t="shared" ca="1" si="9"/>
        <v>0.9147708638148615</v>
      </c>
    </row>
    <row r="29" spans="1:19" x14ac:dyDescent="0.4">
      <c r="A29" s="5">
        <v>17</v>
      </c>
      <c r="B29" s="4">
        <f t="shared" si="4"/>
        <v>1.7000000000000002</v>
      </c>
      <c r="C29" s="4">
        <f t="shared" si="2"/>
        <v>11.752613360087727</v>
      </c>
      <c r="D29" s="8">
        <f t="shared" ca="1" si="0"/>
        <v>11.783523385778969</v>
      </c>
      <c r="E29" s="4">
        <f t="shared" ca="1" si="5"/>
        <v>0.82646934606799449</v>
      </c>
      <c r="F29" s="4">
        <f t="shared" ca="1" si="6"/>
        <v>1.0397009743177734</v>
      </c>
      <c r="G29" s="4">
        <f t="shared" ca="1" si="6"/>
        <v>0.80002806740059529</v>
      </c>
      <c r="H29" s="8">
        <f t="shared" ca="1" si="1"/>
        <v>0.79493419111542163</v>
      </c>
      <c r="I29" s="4">
        <f t="shared" ca="1" si="7"/>
        <v>0.60008066549314409</v>
      </c>
      <c r="J29" s="4">
        <f t="shared" si="8"/>
        <v>0.97585810108719495</v>
      </c>
      <c r="K29" s="8">
        <f t="shared" ca="1" si="3"/>
        <v>0.61956601805537181</v>
      </c>
      <c r="L29" s="8">
        <f t="shared" ca="1" si="9"/>
        <v>0.99534345364942267</v>
      </c>
    </row>
    <row r="30" spans="1:19" x14ac:dyDescent="0.4">
      <c r="A30" s="5">
        <v>18</v>
      </c>
      <c r="B30" s="4">
        <f t="shared" si="4"/>
        <v>1.8</v>
      </c>
      <c r="C30" s="4">
        <f t="shared" si="2"/>
        <v>11.80965410493204</v>
      </c>
      <c r="D30" s="8">
        <f t="shared" ca="1" si="0"/>
        <v>11.763205090449629</v>
      </c>
      <c r="E30" s="4">
        <f t="shared" ca="1" si="5"/>
        <v>0.72350411613185583</v>
      </c>
      <c r="F30" s="4">
        <f t="shared" ref="F30:G45" ca="1" si="10">F29+E30*$E$2</f>
        <v>1.1120513859309591</v>
      </c>
      <c r="G30" s="4">
        <f t="shared" ca="1" si="10"/>
        <v>0.91123320599369118</v>
      </c>
      <c r="H30" s="8">
        <f t="shared" ca="1" si="1"/>
        <v>0.92362428889708348</v>
      </c>
      <c r="I30" s="4">
        <f t="shared" ca="1" si="7"/>
        <v>0.69961501085808631</v>
      </c>
      <c r="J30" s="4">
        <f t="shared" si="8"/>
        <v>1.0535336269872482</v>
      </c>
      <c r="K30" s="8">
        <f t="shared" ca="1" si="3"/>
        <v>0.72201593866198599</v>
      </c>
      <c r="L30" s="8">
        <f t="shared" ca="1" si="9"/>
        <v>1.0759345547911479</v>
      </c>
    </row>
    <row r="31" spans="1:19" x14ac:dyDescent="0.4">
      <c r="A31" s="5">
        <v>19</v>
      </c>
      <c r="B31" s="4">
        <f t="shared" si="4"/>
        <v>1.9000000000000001</v>
      </c>
      <c r="C31" s="4">
        <f t="shared" si="2"/>
        <v>11.859552971776502</v>
      </c>
      <c r="D31" s="8">
        <f t="shared" ca="1" si="0"/>
        <v>11.849394003710316</v>
      </c>
      <c r="E31" s="4">
        <f t="shared" ca="1" si="5"/>
        <v>0.73734261777935672</v>
      </c>
      <c r="F31" s="4">
        <f t="shared" ca="1" si="10"/>
        <v>1.1857856477088948</v>
      </c>
      <c r="G31" s="4">
        <f t="shared" ca="1" si="10"/>
        <v>1.0298117707645806</v>
      </c>
      <c r="H31" s="8">
        <f t="shared" ca="1" si="1"/>
        <v>1.0368244673140785</v>
      </c>
      <c r="I31" s="4">
        <f t="shared" ca="1" si="7"/>
        <v>0.80720846633720111</v>
      </c>
      <c r="J31" s="4">
        <f t="shared" si="8"/>
        <v>1.1291456747817274</v>
      </c>
      <c r="K31" s="8">
        <f t="shared" ca="1" si="3"/>
        <v>0.83017006643488889</v>
      </c>
      <c r="L31" s="8">
        <f t="shared" ca="1" si="9"/>
        <v>1.1521072748794152</v>
      </c>
    </row>
    <row r="32" spans="1:19" x14ac:dyDescent="0.4">
      <c r="A32" s="5">
        <v>20</v>
      </c>
      <c r="B32" s="4">
        <f t="shared" si="4"/>
        <v>2</v>
      </c>
      <c r="C32" s="4">
        <f t="shared" si="2"/>
        <v>11.902113032590307</v>
      </c>
      <c r="D32" s="8">
        <f t="shared" ca="1" si="0"/>
        <v>11.961261503270972</v>
      </c>
      <c r="E32" s="4">
        <f t="shared" ca="1" si="5"/>
        <v>0.7754758555620771</v>
      </c>
      <c r="F32" s="4">
        <f t="shared" ca="1" si="10"/>
        <v>1.2633332332651026</v>
      </c>
      <c r="G32" s="4">
        <f t="shared" ca="1" si="10"/>
        <v>1.1561450940910909</v>
      </c>
      <c r="H32" s="8">
        <f t="shared" ca="1" si="1"/>
        <v>1.141499525575782</v>
      </c>
      <c r="I32" s="4">
        <f t="shared" ca="1" si="7"/>
        <v>0.9224191938251427</v>
      </c>
      <c r="J32" s="4">
        <f t="shared" si="8"/>
        <v>1.202186404481205</v>
      </c>
      <c r="K32" s="8">
        <f t="shared" ca="1" si="3"/>
        <v>0.94432722700020666</v>
      </c>
      <c r="L32" s="8">
        <f t="shared" ca="1" si="9"/>
        <v>1.2240944376562688</v>
      </c>
    </row>
    <row r="33" spans="1:12" x14ac:dyDescent="0.4">
      <c r="A33" s="5">
        <v>21</v>
      </c>
      <c r="B33" s="4">
        <f t="shared" si="4"/>
        <v>2.1</v>
      </c>
      <c r="C33" s="4">
        <f t="shared" si="2"/>
        <v>11.937166322257262</v>
      </c>
      <c r="D33" s="8">
        <f t="shared" ca="1" si="0"/>
        <v>12.046588259935367</v>
      </c>
      <c r="E33" s="4">
        <f t="shared" ca="1" si="5"/>
        <v>0.7832550266702647</v>
      </c>
      <c r="F33" s="4">
        <f t="shared" ca="1" si="10"/>
        <v>1.341658735932129</v>
      </c>
      <c r="G33" s="4">
        <f t="shared" ca="1" si="10"/>
        <v>1.2903109676843039</v>
      </c>
      <c r="H33" s="8">
        <f t="shared" ca="1" si="1"/>
        <v>1.2936744150912582</v>
      </c>
      <c r="I33" s="4">
        <f t="shared" ca="1" si="7"/>
        <v>1.0448286375907696</v>
      </c>
      <c r="J33" s="4">
        <f t="shared" si="8"/>
        <v>1.2721790672921152</v>
      </c>
      <c r="K33" s="8">
        <f t="shared" ca="1" si="3"/>
        <v>1.0697132153408184</v>
      </c>
      <c r="L33" s="8">
        <f t="shared" ca="1" si="9"/>
        <v>1.297063645042164</v>
      </c>
    </row>
    <row r="34" spans="1:12" x14ac:dyDescent="0.4">
      <c r="A34" s="5">
        <v>22</v>
      </c>
      <c r="B34" s="4">
        <f t="shared" si="4"/>
        <v>2.2000000000000002</v>
      </c>
      <c r="C34" s="4">
        <f t="shared" si="2"/>
        <v>11.964574501457378</v>
      </c>
      <c r="D34" s="8">
        <f t="shared" ca="1" si="0"/>
        <v>11.782534572774141</v>
      </c>
      <c r="E34" s="4">
        <f t="shared" ca="1" si="5"/>
        <v>0.44087583684201204</v>
      </c>
      <c r="F34" s="4">
        <f t="shared" ca="1" si="10"/>
        <v>1.3857463196163302</v>
      </c>
      <c r="G34" s="4">
        <f t="shared" ca="1" si="10"/>
        <v>1.4288855996459369</v>
      </c>
      <c r="H34" s="8">
        <f t="shared" ca="1" si="1"/>
        <v>1.4236755074519523</v>
      </c>
      <c r="I34" s="4">
        <f t="shared" ca="1" si="7"/>
        <v>1.1745350020949861</v>
      </c>
      <c r="J34" s="4">
        <f t="shared" si="8"/>
        <v>1.33867779278863</v>
      </c>
      <c r="K34" s="8">
        <f t="shared" ca="1" si="3"/>
        <v>1.1994490526306827</v>
      </c>
      <c r="L34" s="8">
        <f t="shared" ca="1" si="9"/>
        <v>1.3635918433243266</v>
      </c>
    </row>
    <row r="35" spans="1:12" x14ac:dyDescent="0.4">
      <c r="A35" s="5">
        <v>23</v>
      </c>
      <c r="B35" s="4">
        <f t="shared" si="4"/>
        <v>2.3000000000000003</v>
      </c>
      <c r="C35" s="4">
        <f t="shared" si="2"/>
        <v>11.984229402628955</v>
      </c>
      <c r="D35" s="8">
        <f t="shared" ca="1" si="0"/>
        <v>11.990831488723465</v>
      </c>
      <c r="E35" s="4">
        <f t="shared" ca="1" si="5"/>
        <v>0.60508516910713506</v>
      </c>
      <c r="F35" s="4">
        <f t="shared" ca="1" si="10"/>
        <v>1.4462548365270438</v>
      </c>
      <c r="G35" s="4">
        <f t="shared" ca="1" si="10"/>
        <v>1.5735110832986412</v>
      </c>
      <c r="H35" s="8">
        <f t="shared" ca="1" si="1"/>
        <v>1.5856739737598378</v>
      </c>
      <c r="I35" s="4">
        <f t="shared" ca="1" si="7"/>
        <v>1.3108941864274186</v>
      </c>
      <c r="J35" s="4">
        <f t="shared" si="8"/>
        <v>1.4012674636555049</v>
      </c>
      <c r="K35" s="8">
        <f t="shared" ca="1" si="3"/>
        <v>1.3383721651606606</v>
      </c>
      <c r="L35" s="8">
        <f t="shared" ca="1" si="9"/>
        <v>1.4287454423887469</v>
      </c>
    </row>
    <row r="36" spans="1:12" x14ac:dyDescent="0.4">
      <c r="A36" s="5">
        <v>24</v>
      </c>
      <c r="B36" s="4">
        <f t="shared" si="4"/>
        <v>2.4000000000000004</v>
      </c>
      <c r="C36" s="4">
        <f t="shared" si="2"/>
        <v>11.996053456856544</v>
      </c>
      <c r="D36" s="8">
        <f t="shared" ca="1" si="0"/>
        <v>11.961441828825311</v>
      </c>
      <c r="E36" s="4">
        <f t="shared" ca="1" si="5"/>
        <v>0.51518699229826748</v>
      </c>
      <c r="F36" s="4">
        <f t="shared" ca="1" si="10"/>
        <v>1.4977735357568704</v>
      </c>
      <c r="G36" s="4">
        <f t="shared" ca="1" si="10"/>
        <v>1.7232884368743282</v>
      </c>
      <c r="H36" s="8">
        <f t="shared" ca="1" si="1"/>
        <v>1.7293248414987874</v>
      </c>
      <c r="I36" s="4">
        <f t="shared" ca="1" si="7"/>
        <v>1.4537687306662934</v>
      </c>
      <c r="J36" s="4">
        <f t="shared" si="8"/>
        <v>1.4595636575528501</v>
      </c>
      <c r="K36" s="8">
        <f t="shared" ca="1" si="3"/>
        <v>1.4813243417495428</v>
      </c>
      <c r="L36" s="8">
        <f t="shared" ca="1" si="9"/>
        <v>1.4871192686360994</v>
      </c>
    </row>
    <row r="37" spans="1:12" x14ac:dyDescent="0.4">
      <c r="A37" s="5">
        <v>25</v>
      </c>
      <c r="B37" s="4">
        <f t="shared" si="4"/>
        <v>2.5</v>
      </c>
      <c r="C37" s="4">
        <f t="shared" si="2"/>
        <v>12</v>
      </c>
      <c r="D37" s="8">
        <f t="shared" ca="1" si="0"/>
        <v>12.182144553363791</v>
      </c>
      <c r="E37" s="4">
        <f t="shared" ca="1" si="5"/>
        <v>0.68437101760692087</v>
      </c>
      <c r="F37" s="4">
        <f t="shared" ca="1" si="10"/>
        <v>1.5662106375175626</v>
      </c>
      <c r="G37" s="4">
        <f t="shared" ca="1" si="10"/>
        <v>1.8799095006260844</v>
      </c>
      <c r="H37" s="8">
        <f t="shared" ca="1" si="1"/>
        <v>1.902927885336392</v>
      </c>
      <c r="I37" s="4">
        <f t="shared" ca="1" si="7"/>
        <v>1.6024806575299033</v>
      </c>
      <c r="J37" s="4">
        <f t="shared" si="8"/>
        <v>1.5132126374832195</v>
      </c>
      <c r="K37" s="8">
        <f t="shared" ca="1" si="3"/>
        <v>1.6325253803105522</v>
      </c>
      <c r="L37" s="8">
        <f t="shared" ca="1" si="9"/>
        <v>1.5432573602638684</v>
      </c>
    </row>
    <row r="38" spans="1:12" x14ac:dyDescent="0.4">
      <c r="A38" s="5">
        <v>26</v>
      </c>
      <c r="B38" s="4">
        <f t="shared" si="4"/>
        <v>2.6</v>
      </c>
      <c r="C38" s="4">
        <f t="shared" si="2"/>
        <v>11.996053456856544</v>
      </c>
      <c r="D38" s="8">
        <f t="shared" ca="1" si="0"/>
        <v>12.12382097785814</v>
      </c>
      <c r="E38" s="4">
        <f t="shared" ca="1" si="5"/>
        <v>0.55761034034057699</v>
      </c>
      <c r="F38" s="4">
        <f t="shared" ca="1" si="10"/>
        <v>1.6219716715516204</v>
      </c>
      <c r="G38" s="4">
        <f t="shared" ca="1" si="10"/>
        <v>2.0421066677812463</v>
      </c>
      <c r="H38" s="8">
        <f t="shared" ca="1" si="1"/>
        <v>2.0288451569891786</v>
      </c>
      <c r="I38" s="4">
        <f t="shared" ca="1" si="7"/>
        <v>1.7568063935562901</v>
      </c>
      <c r="J38" s="4">
        <f t="shared" si="8"/>
        <v>1.5618913737348976</v>
      </c>
      <c r="K38" s="8">
        <f t="shared" ca="1" si="3"/>
        <v>1.784010269899579</v>
      </c>
      <c r="L38" s="8">
        <f t="shared" ca="1" si="9"/>
        <v>1.5890952500781865</v>
      </c>
    </row>
    <row r="39" spans="1:12" x14ac:dyDescent="0.4">
      <c r="A39" s="5">
        <v>27</v>
      </c>
      <c r="B39" s="4">
        <f t="shared" si="4"/>
        <v>2.7</v>
      </c>
      <c r="C39" s="4">
        <f t="shared" si="2"/>
        <v>11.984229402628955</v>
      </c>
      <c r="D39" s="8">
        <f t="shared" ca="1" si="0"/>
        <v>11.975232308111023</v>
      </c>
      <c r="E39" s="4">
        <f t="shared" ca="1" si="5"/>
        <v>0.35326063655940265</v>
      </c>
      <c r="F39" s="4">
        <f t="shared" ca="1" si="10"/>
        <v>1.6572977352075606</v>
      </c>
      <c r="G39" s="4">
        <f t="shared" ca="1" si="10"/>
        <v>2.2078364413020024</v>
      </c>
      <c r="H39" s="8">
        <f t="shared" ca="1" si="1"/>
        <v>2.2102208833195456</v>
      </c>
      <c r="I39" s="4">
        <f t="shared" ca="1" si="7"/>
        <v>1.9157159185641088</v>
      </c>
      <c r="J39" s="4">
        <f t="shared" si="8"/>
        <v>1.6053075820470621</v>
      </c>
      <c r="K39" s="8">
        <f t="shared" ca="1" si="3"/>
        <v>1.9451664150396526</v>
      </c>
      <c r="L39" s="8">
        <f t="shared" ca="1" si="9"/>
        <v>1.6347580785226059</v>
      </c>
    </row>
    <row r="40" spans="1:12" x14ac:dyDescent="0.4">
      <c r="A40" s="5">
        <v>28</v>
      </c>
      <c r="B40" s="4">
        <f t="shared" si="4"/>
        <v>2.8000000000000003</v>
      </c>
      <c r="C40" s="4">
        <f t="shared" si="2"/>
        <v>11.964574501457378</v>
      </c>
      <c r="D40" s="8">
        <f t="shared" ca="1" si="0"/>
        <v>12.048023429196803</v>
      </c>
      <c r="E40" s="4">
        <f t="shared" ca="1" si="5"/>
        <v>0.39072569398924251</v>
      </c>
      <c r="F40" s="4">
        <f t="shared" ca="1" si="10"/>
        <v>1.6963703046064849</v>
      </c>
      <c r="G40" s="4">
        <f t="shared" ca="1" si="10"/>
        <v>2.3774734717626509</v>
      </c>
      <c r="H40" s="8">
        <f t="shared" ca="1" si="1"/>
        <v>2.3721382461523071</v>
      </c>
      <c r="I40" s="4">
        <f t="shared" ca="1" si="7"/>
        <v>2.0791917264163695</v>
      </c>
      <c r="J40" s="4">
        <f t="shared" si="8"/>
        <v>1.6431997641052516</v>
      </c>
      <c r="K40" s="8">
        <f t="shared" ca="1" si="3"/>
        <v>2.1084863783899634</v>
      </c>
      <c r="L40" s="8">
        <f t="shared" ca="1" si="9"/>
        <v>1.6724944160788453</v>
      </c>
    </row>
    <row r="41" spans="1:12" x14ac:dyDescent="0.4">
      <c r="A41" s="5">
        <v>29</v>
      </c>
      <c r="B41" s="4">
        <f t="shared" si="4"/>
        <v>2.9000000000000004</v>
      </c>
      <c r="C41" s="4">
        <f t="shared" si="2"/>
        <v>11.937166322257262</v>
      </c>
      <c r="D41" s="8">
        <f t="shared" ca="1" si="0"/>
        <v>12.023413953594588</v>
      </c>
      <c r="E41" s="4">
        <f t="shared" ca="1" si="5"/>
        <v>0.32704364898810301</v>
      </c>
      <c r="F41" s="4">
        <f t="shared" ca="1" si="10"/>
        <v>1.7290746695052952</v>
      </c>
      <c r="G41" s="4">
        <f t="shared" ca="1" si="10"/>
        <v>2.5503809387131806</v>
      </c>
      <c r="H41" s="8">
        <f t="shared" ca="1" si="1"/>
        <v>2.5384463728705131</v>
      </c>
      <c r="I41" s="4">
        <f t="shared" ca="1" si="7"/>
        <v>2.246441168024254</v>
      </c>
      <c r="J41" s="4">
        <f t="shared" si="8"/>
        <v>1.6753372378404641</v>
      </c>
      <c r="K41" s="8">
        <f t="shared" ca="1" si="3"/>
        <v>2.2756416885088799</v>
      </c>
      <c r="L41" s="8">
        <f t="shared" ca="1" si="9"/>
        <v>1.70453775832509</v>
      </c>
    </row>
    <row r="42" spans="1:12" x14ac:dyDescent="0.4">
      <c r="A42" s="5">
        <v>30</v>
      </c>
      <c r="B42" s="4">
        <f t="shared" si="4"/>
        <v>3</v>
      </c>
      <c r="C42" s="4">
        <f t="shared" si="2"/>
        <v>11.902113032590307</v>
      </c>
      <c r="D42" s="8">
        <f t="shared" ca="1" si="0"/>
        <v>12.054460066838006</v>
      </c>
      <c r="E42" s="4">
        <f t="shared" ca="1" si="5"/>
        <v>0.32538539733271077</v>
      </c>
      <c r="F42" s="4">
        <f t="shared" ca="1" si="10"/>
        <v>1.7616132092385663</v>
      </c>
      <c r="G42" s="4">
        <f t="shared" ca="1" si="10"/>
        <v>2.7265422596370374</v>
      </c>
      <c r="H42" s="8">
        <f t="shared" ca="1" si="1"/>
        <v>2.7297462261434084</v>
      </c>
      <c r="I42" s="4">
        <f t="shared" ca="1" si="7"/>
        <v>2.4168949438567631</v>
      </c>
      <c r="J42" s="4">
        <f t="shared" si="8"/>
        <v>1.7015201462821439</v>
      </c>
      <c r="K42" s="8">
        <f t="shared" ca="1" si="3"/>
        <v>2.4481800720854276</v>
      </c>
      <c r="L42" s="8">
        <f t="shared" ca="1" si="9"/>
        <v>1.7328052745108085</v>
      </c>
    </row>
    <row r="43" spans="1:12" x14ac:dyDescent="0.4">
      <c r="A43" s="5">
        <v>31</v>
      </c>
      <c r="B43" s="4">
        <f t="shared" si="4"/>
        <v>3.1</v>
      </c>
      <c r="C43" s="4">
        <f t="shared" si="2"/>
        <v>11.859552971776502</v>
      </c>
      <c r="D43" s="8">
        <f t="shared" ca="1" si="0"/>
        <v>11.863062825172159</v>
      </c>
      <c r="E43" s="4">
        <f t="shared" ca="1" si="5"/>
        <v>0.10144961593359292</v>
      </c>
      <c r="F43" s="4">
        <f t="shared" ca="1" si="10"/>
        <v>1.7717581708319257</v>
      </c>
      <c r="G43" s="4">
        <f t="shared" ca="1" si="10"/>
        <v>2.9037180767202302</v>
      </c>
      <c r="H43" s="8">
        <f t="shared" ca="1" si="1"/>
        <v>2.901356852958898</v>
      </c>
      <c r="I43" s="4">
        <f t="shared" ca="1" si="7"/>
        <v>2.5901754713078438</v>
      </c>
      <c r="J43" s="4">
        <f t="shared" si="8"/>
        <v>1.7215794349129603</v>
      </c>
      <c r="K43" s="8">
        <f t="shared" ca="1" si="3"/>
        <v>2.6212936094729491</v>
      </c>
      <c r="L43" s="8">
        <f t="shared" ca="1" si="9"/>
        <v>1.7526975730780656</v>
      </c>
    </row>
    <row r="44" spans="1:12" x14ac:dyDescent="0.4">
      <c r="A44" s="5">
        <v>32</v>
      </c>
      <c r="B44" s="4">
        <f t="shared" si="4"/>
        <v>3.2</v>
      </c>
      <c r="C44" s="4">
        <f t="shared" si="2"/>
        <v>11.809654104932038</v>
      </c>
      <c r="D44" s="8">
        <f t="shared" ca="1" si="0"/>
        <v>11.754268809687265</v>
      </c>
      <c r="E44" s="4">
        <f t="shared" ca="1" si="5"/>
        <v>-1.7489361144661153E-2</v>
      </c>
      <c r="F44" s="4">
        <f t="shared" ca="1" si="10"/>
        <v>1.7700092347174596</v>
      </c>
      <c r="G44" s="4">
        <f t="shared" ca="1" si="10"/>
        <v>3.080719000191976</v>
      </c>
      <c r="H44" s="8">
        <f t="shared" ca="1" si="1"/>
        <v>3.0741549247539046</v>
      </c>
      <c r="I44" s="4">
        <f t="shared" ca="1" si="7"/>
        <v>2.7654452286156506</v>
      </c>
      <c r="J44" s="4">
        <f t="shared" si="8"/>
        <v>1.7353767885993143</v>
      </c>
      <c r="K44" s="8">
        <f t="shared" ca="1" si="3"/>
        <v>2.796316198229476</v>
      </c>
      <c r="L44" s="8">
        <f t="shared" ca="1" si="9"/>
        <v>1.7662477582131397</v>
      </c>
    </row>
    <row r="45" spans="1:12" x14ac:dyDescent="0.4">
      <c r="A45" s="5">
        <v>33</v>
      </c>
      <c r="B45" s="4">
        <f t="shared" si="4"/>
        <v>3.3000000000000003</v>
      </c>
      <c r="C45" s="4">
        <f t="shared" si="2"/>
        <v>11.752613360087727</v>
      </c>
      <c r="D45" s="8">
        <f t="shared" ca="1" si="0"/>
        <v>11.620839035736017</v>
      </c>
      <c r="E45" s="4">
        <f t="shared" ca="1" si="5"/>
        <v>-0.14917019898144268</v>
      </c>
      <c r="F45" s="4">
        <f t="shared" ca="1" si="10"/>
        <v>1.7550922148193153</v>
      </c>
      <c r="G45" s="4">
        <f t="shared" ca="1" si="10"/>
        <v>3.2562282216739074</v>
      </c>
      <c r="H45" s="8">
        <f t="shared" ca="1" si="1"/>
        <v>3.2671472713030192</v>
      </c>
      <c r="I45" s="4">
        <f t="shared" ca="1" si="7"/>
        <v>2.9420700044369648</v>
      </c>
      <c r="J45" s="4">
        <f t="shared" si="8"/>
        <v>1.7428045202325868</v>
      </c>
      <c r="K45" s="8">
        <f t="shared" ca="1" si="3"/>
        <v>2.9745777311235702</v>
      </c>
      <c r="L45" s="8">
        <f t="shared" ca="1" si="9"/>
        <v>1.7753122469191922</v>
      </c>
    </row>
    <row r="46" spans="1:12" x14ac:dyDescent="0.4">
      <c r="A46" s="5">
        <v>34</v>
      </c>
      <c r="B46" s="4">
        <f t="shared" si="4"/>
        <v>3.4000000000000004</v>
      </c>
      <c r="C46" s="4">
        <f t="shared" si="2"/>
        <v>11.688655851004031</v>
      </c>
      <c r="D46" s="8">
        <f t="shared" ca="1" si="0"/>
        <v>11.600461593930099</v>
      </c>
      <c r="E46" s="4">
        <f t="shared" ca="1" si="5"/>
        <v>-0.15463062088921631</v>
      </c>
      <c r="F46" s="4">
        <f t="shared" ref="F46:G61" ca="1" si="11">F45+E46*$E$2</f>
        <v>1.7396291527303938</v>
      </c>
      <c r="G46" s="4">
        <f t="shared" ca="1" si="11"/>
        <v>3.4301911369469469</v>
      </c>
      <c r="H46" s="8">
        <f t="shared" ca="1" si="1"/>
        <v>3.4342220272446973</v>
      </c>
      <c r="I46" s="4">
        <f t="shared" ca="1" si="7"/>
        <v>3.1196012291288842</v>
      </c>
      <c r="J46" s="4">
        <f t="shared" si="8"/>
        <v>1.7437854042181009</v>
      </c>
      <c r="K46" s="8">
        <f t="shared" ca="1" si="3"/>
        <v>3.1510633089404654</v>
      </c>
      <c r="L46" s="8">
        <f t="shared" ca="1" si="9"/>
        <v>1.7752474840296821</v>
      </c>
    </row>
    <row r="47" spans="1:12" x14ac:dyDescent="0.4">
      <c r="A47" s="5">
        <v>35</v>
      </c>
      <c r="B47" s="4">
        <f t="shared" si="4"/>
        <v>3.5</v>
      </c>
      <c r="C47" s="4">
        <f t="shared" si="2"/>
        <v>11.618033988749895</v>
      </c>
      <c r="D47" s="8">
        <f t="shared" ca="1" si="0"/>
        <v>11.420788520380603</v>
      </c>
      <c r="E47" s="4">
        <f t="shared" ca="1" si="5"/>
        <v>-0.31884063234979121</v>
      </c>
      <c r="F47" s="4">
        <f t="shared" ca="1" si="11"/>
        <v>1.7077450894954147</v>
      </c>
      <c r="G47" s="4">
        <f t="shared" ca="1" si="11"/>
        <v>3.6009656458964883</v>
      </c>
      <c r="H47" s="8">
        <f t="shared" ca="1" si="1"/>
        <v>3.5923209459017325</v>
      </c>
      <c r="I47" s="4">
        <f t="shared" ca="1" si="7"/>
        <v>3.2971259775318522</v>
      </c>
      <c r="J47" s="4">
        <f t="shared" si="8"/>
        <v>1.7382724488966939</v>
      </c>
      <c r="K47" s="8">
        <f t="shared" ca="1" si="3"/>
        <v>3.3266454743688403</v>
      </c>
      <c r="L47" s="8">
        <f t="shared" ca="1" si="9"/>
        <v>1.7677919457336819</v>
      </c>
    </row>
    <row r="48" spans="1:12" x14ac:dyDescent="0.4">
      <c r="A48" s="5">
        <v>36</v>
      </c>
      <c r="B48" s="4">
        <f t="shared" si="4"/>
        <v>3.6</v>
      </c>
      <c r="C48" s="4">
        <f t="shared" si="2"/>
        <v>11.541026485551578</v>
      </c>
      <c r="D48" s="8">
        <f t="shared" ca="1" si="0"/>
        <v>11.605161441323332</v>
      </c>
      <c r="E48" s="4">
        <f t="shared" ca="1" si="5"/>
        <v>-0.10258364817208232</v>
      </c>
      <c r="F48" s="4">
        <f t="shared" ca="1" si="11"/>
        <v>1.6974867246782064</v>
      </c>
      <c r="G48" s="4">
        <f t="shared" ca="1" si="11"/>
        <v>3.770714318364309</v>
      </c>
      <c r="H48" s="8">
        <f t="shared" ca="1" si="1"/>
        <v>3.7771879631115723</v>
      </c>
      <c r="I48" s="4">
        <f t="shared" ca="1" si="7"/>
        <v>3.4739051721052205</v>
      </c>
      <c r="J48" s="4">
        <f t="shared" si="8"/>
        <v>1.7262486028820141</v>
      </c>
      <c r="K48" s="8">
        <f t="shared" ca="1" si="3"/>
        <v>3.5042334512058559</v>
      </c>
      <c r="L48" s="8">
        <f t="shared" ca="1" si="9"/>
        <v>1.7565768819826493</v>
      </c>
    </row>
    <row r="49" spans="1:12" x14ac:dyDescent="0.4">
      <c r="A49" s="5">
        <v>37</v>
      </c>
      <c r="B49" s="4">
        <f t="shared" si="4"/>
        <v>3.7</v>
      </c>
      <c r="C49" s="4">
        <f t="shared" si="2"/>
        <v>11.457937254842824</v>
      </c>
      <c r="D49" s="8">
        <f t="shared" ca="1" si="0"/>
        <v>11.51811436127009</v>
      </c>
      <c r="E49" s="4">
        <f t="shared" ca="1" si="5"/>
        <v>-0.17937236340811635</v>
      </c>
      <c r="F49" s="4">
        <f t="shared" ca="1" si="11"/>
        <v>1.6795494883373947</v>
      </c>
      <c r="G49" s="4">
        <f t="shared" ca="1" si="11"/>
        <v>3.9386692671980486</v>
      </c>
      <c r="H49" s="8">
        <f t="shared" ca="1" si="1"/>
        <v>3.9433612286553146</v>
      </c>
      <c r="I49" s="4">
        <f t="shared" ca="1" si="7"/>
        <v>3.6495628603034853</v>
      </c>
      <c r="J49" s="4">
        <f t="shared" si="8"/>
        <v>1.7077263911489704</v>
      </c>
      <c r="K49" s="8">
        <f t="shared" ca="1" si="3"/>
        <v>3.6789426971386683</v>
      </c>
      <c r="L49" s="8">
        <f t="shared" ca="1" si="9"/>
        <v>1.7371062279841534</v>
      </c>
    </row>
    <row r="50" spans="1:12" x14ac:dyDescent="0.4">
      <c r="A50" s="5">
        <v>38</v>
      </c>
      <c r="B50" s="4">
        <f t="shared" si="4"/>
        <v>3.8000000000000003</v>
      </c>
      <c r="C50" s="4">
        <f t="shared" si="2"/>
        <v>11.369094211857378</v>
      </c>
      <c r="D50" s="8">
        <f t="shared" ca="1" si="0"/>
        <v>11.243864032653194</v>
      </c>
      <c r="E50" s="4">
        <f t="shared" ca="1" si="5"/>
        <v>-0.43568545568420047</v>
      </c>
      <c r="F50" s="4">
        <f t="shared" ca="1" si="11"/>
        <v>1.6359809427689747</v>
      </c>
      <c r="G50" s="4">
        <f t="shared" ca="1" si="11"/>
        <v>4.1022673614749463</v>
      </c>
      <c r="H50" s="8">
        <f t="shared" ca="1" si="1"/>
        <v>4.1005568952294862</v>
      </c>
      <c r="I50" s="4">
        <f t="shared" ca="1" si="7"/>
        <v>3.8232734831019006</v>
      </c>
      <c r="J50" s="4">
        <f t="shared" si="8"/>
        <v>1.6827474775183557</v>
      </c>
      <c r="K50" s="8">
        <f t="shared" ca="1" si="3"/>
        <v>3.8510018243146593</v>
      </c>
      <c r="L50" s="8">
        <f t="shared" ca="1" si="9"/>
        <v>1.7104758187311142</v>
      </c>
    </row>
    <row r="51" spans="1:12" x14ac:dyDescent="0.4">
      <c r="A51" s="5">
        <v>39</v>
      </c>
      <c r="B51" s="4">
        <f t="shared" si="4"/>
        <v>3.9000000000000004</v>
      </c>
      <c r="C51" s="4">
        <f t="shared" si="2"/>
        <v>11.274847979497379</v>
      </c>
      <c r="D51" s="8">
        <f t="shared" ca="1" si="0"/>
        <v>11.170172119445594</v>
      </c>
      <c r="E51" s="4">
        <f t="shared" ca="1" si="5"/>
        <v>-0.46580882332338081</v>
      </c>
      <c r="F51" s="4">
        <f t="shared" ca="1" si="11"/>
        <v>1.5894000604366365</v>
      </c>
      <c r="G51" s="4">
        <f t="shared" ca="1" si="11"/>
        <v>4.26120736751861</v>
      </c>
      <c r="H51" s="8">
        <f t="shared" ca="1" si="1"/>
        <v>4.2579087863341556</v>
      </c>
      <c r="I51" s="4">
        <f t="shared" ca="1" si="7"/>
        <v>3.9943210649750123</v>
      </c>
      <c r="J51" s="4">
        <f t="shared" si="8"/>
        <v>1.6513821509522579</v>
      </c>
      <c r="K51" s="8">
        <f t="shared" ca="1" si="3"/>
        <v>4.0206798371109267</v>
      </c>
      <c r="L51" s="8">
        <f t="shared" ca="1" si="9"/>
        <v>1.6777409230881724</v>
      </c>
    </row>
    <row r="52" spans="1:12" x14ac:dyDescent="0.4">
      <c r="A52" s="5">
        <v>40</v>
      </c>
      <c r="B52" s="4">
        <f t="shared" si="4"/>
        <v>4</v>
      </c>
      <c r="C52" s="4">
        <f t="shared" si="2"/>
        <v>11.175570504584947</v>
      </c>
      <c r="D52" s="8">
        <f t="shared" ca="1" si="0"/>
        <v>11.258427492074061</v>
      </c>
      <c r="E52" s="4">
        <f t="shared" ca="1" si="5"/>
        <v>-0.33097256836257571</v>
      </c>
      <c r="F52" s="4">
        <f t="shared" ca="1" si="11"/>
        <v>1.556302803600379</v>
      </c>
      <c r="G52" s="4">
        <f t="shared" ca="1" si="11"/>
        <v>4.4168376478786477</v>
      </c>
      <c r="H52" s="8">
        <f t="shared" ca="1" si="1"/>
        <v>4.4215552797672659</v>
      </c>
      <c r="I52" s="4">
        <f t="shared" ca="1" si="7"/>
        <v>4.1620951572838294</v>
      </c>
      <c r="J52" s="4">
        <f t="shared" si="8"/>
        <v>1.6137287338067698</v>
      </c>
      <c r="K52" s="8">
        <f t="shared" ca="1" si="3"/>
        <v>4.1880411695321733</v>
      </c>
      <c r="L52" s="8">
        <f t="shared" ca="1" si="9"/>
        <v>1.6396747460551135</v>
      </c>
    </row>
    <row r="53" spans="1:12" x14ac:dyDescent="0.4">
      <c r="A53" s="5">
        <v>41</v>
      </c>
      <c r="B53" s="4">
        <f t="shared" si="4"/>
        <v>4.1000000000000005</v>
      </c>
      <c r="C53" s="4">
        <f t="shared" si="2"/>
        <v>11.071653589957993</v>
      </c>
      <c r="D53" s="8">
        <f t="shared" ca="1" si="0"/>
        <v>11.066566072965434</v>
      </c>
      <c r="E53" s="4">
        <f t="shared" ca="1" si="5"/>
        <v>-0.48973673063494449</v>
      </c>
      <c r="F53" s="4">
        <f t="shared" ca="1" si="11"/>
        <v>1.5073291305368846</v>
      </c>
      <c r="G53" s="4">
        <f t="shared" ca="1" si="11"/>
        <v>4.567570560932336</v>
      </c>
      <c r="H53" s="8">
        <f t="shared" ca="1" si="1"/>
        <v>4.5902266822476827</v>
      </c>
      <c r="I53" s="4">
        <f t="shared" ca="1" si="7"/>
        <v>4.3260626318893411</v>
      </c>
      <c r="J53" s="4">
        <f t="shared" si="8"/>
        <v>1.5699129108845875</v>
      </c>
      <c r="K53" s="8">
        <f t="shared" ca="1" si="3"/>
        <v>4.3524790369251756</v>
      </c>
      <c r="L53" s="8">
        <f t="shared" ca="1" si="9"/>
        <v>1.5963293159204217</v>
      </c>
    </row>
    <row r="54" spans="1:12" x14ac:dyDescent="0.4">
      <c r="A54" s="5">
        <v>42</v>
      </c>
      <c r="B54" s="4">
        <f t="shared" si="4"/>
        <v>4.2</v>
      </c>
      <c r="C54" s="4">
        <f t="shared" si="2"/>
        <v>10.96350734820343</v>
      </c>
      <c r="D54" s="8">
        <f t="shared" ca="1" si="0"/>
        <v>10.940170273928848</v>
      </c>
      <c r="E54" s="4">
        <f t="shared" ca="1" si="5"/>
        <v>-0.56715885660803678</v>
      </c>
      <c r="F54" s="4">
        <f t="shared" ca="1" si="11"/>
        <v>1.4506132448760809</v>
      </c>
      <c r="G54" s="4">
        <f t="shared" ca="1" si="11"/>
        <v>4.7126318854199445</v>
      </c>
      <c r="H54" s="8">
        <f t="shared" ca="1" si="1"/>
        <v>4.6988647822078615</v>
      </c>
      <c r="I54" s="4">
        <f t="shared" ca="1" si="7"/>
        <v>4.4856955634813831</v>
      </c>
      <c r="J54" s="4">
        <f t="shared" si="8"/>
        <v>1.520086978791928</v>
      </c>
      <c r="K54" s="8">
        <f t="shared" ca="1" si="3"/>
        <v>4.5070124853540312</v>
      </c>
      <c r="L54" s="8">
        <f t="shared" ca="1" si="9"/>
        <v>1.5414039006645759</v>
      </c>
    </row>
    <row r="55" spans="1:12" x14ac:dyDescent="0.4">
      <c r="A55" s="5">
        <v>43</v>
      </c>
      <c r="B55" s="4">
        <f t="shared" si="4"/>
        <v>4.3</v>
      </c>
      <c r="C55" s="4">
        <f t="shared" si="2"/>
        <v>10.851558583130146</v>
      </c>
      <c r="D55" s="8">
        <f t="shared" ca="1" si="0"/>
        <v>10.822034092980859</v>
      </c>
      <c r="E55" s="4">
        <f t="shared" ca="1" si="5"/>
        <v>-0.62857915189522195</v>
      </c>
      <c r="F55" s="4">
        <f t="shared" ca="1" si="11"/>
        <v>1.3877553296865588</v>
      </c>
      <c r="G55" s="4">
        <f t="shared" ca="1" si="11"/>
        <v>4.8514074183886002</v>
      </c>
      <c r="H55" s="8">
        <f t="shared" ca="1" si="1"/>
        <v>4.8618901565933834</v>
      </c>
      <c r="I55" s="4">
        <f t="shared" ca="1" si="7"/>
        <v>4.6398359535478404</v>
      </c>
      <c r="J55" s="4">
        <f t="shared" si="8"/>
        <v>1.4644290157330782</v>
      </c>
      <c r="K55" s="8">
        <f t="shared" ca="1" si="3"/>
        <v>4.6620413738523947</v>
      </c>
      <c r="L55" s="8">
        <f t="shared" ca="1" si="9"/>
        <v>1.4866344360376325</v>
      </c>
    </row>
    <row r="56" spans="1:12" x14ac:dyDescent="0.4">
      <c r="A56" s="5">
        <v>44</v>
      </c>
      <c r="B56" s="4">
        <f t="shared" si="4"/>
        <v>4.4000000000000004</v>
      </c>
      <c r="C56" s="4">
        <f t="shared" si="2"/>
        <v>10.736249105369355</v>
      </c>
      <c r="D56" s="8">
        <f t="shared" ca="1" si="0"/>
        <v>10.687699586633792</v>
      </c>
      <c r="E56" s="4">
        <f t="shared" ca="1" si="5"/>
        <v>-0.7000557430527663</v>
      </c>
      <c r="F56" s="4">
        <f t="shared" ca="1" si="11"/>
        <v>1.3177497553812823</v>
      </c>
      <c r="G56" s="4">
        <f t="shared" ca="1" si="11"/>
        <v>4.9831823939267288</v>
      </c>
      <c r="H56" s="8">
        <f t="shared" ca="1" si="1"/>
        <v>4.9964024354526879</v>
      </c>
      <c r="I56" s="4">
        <f t="shared" ca="1" si="7"/>
        <v>4.7884993971516039</v>
      </c>
      <c r="J56" s="4">
        <f t="shared" si="8"/>
        <v>1.4031419724727849</v>
      </c>
      <c r="K56" s="8">
        <f t="shared" ca="1" si="3"/>
        <v>4.8092897009817124</v>
      </c>
      <c r="L56" s="8">
        <f t="shared" ca="1" si="9"/>
        <v>1.4239322763028934</v>
      </c>
    </row>
    <row r="57" spans="1:12" x14ac:dyDescent="0.4">
      <c r="A57" s="5">
        <v>45</v>
      </c>
      <c r="B57" s="4">
        <f t="shared" si="4"/>
        <v>4.5</v>
      </c>
      <c r="C57" s="4">
        <f t="shared" si="2"/>
        <v>10.618033988749895</v>
      </c>
      <c r="D57" s="8">
        <f t="shared" ca="1" si="0"/>
        <v>10.729787275346993</v>
      </c>
      <c r="E57" s="4">
        <f t="shared" ca="1" si="5"/>
        <v>-0.58796248003428908</v>
      </c>
      <c r="F57" s="4">
        <f t="shared" ca="1" si="11"/>
        <v>1.2589535073778533</v>
      </c>
      <c r="G57" s="4">
        <f t="shared" ca="1" si="11"/>
        <v>5.1090777446645141</v>
      </c>
      <c r="H57" s="8">
        <f t="shared" ca="1" si="1"/>
        <v>5.1103925713644562</v>
      </c>
      <c r="I57" s="4">
        <f t="shared" ca="1" si="7"/>
        <v>4.9308926247818929</v>
      </c>
      <c r="J57" s="4">
        <f t="shared" si="8"/>
        <v>1.3364526857624419</v>
      </c>
      <c r="K57" s="8">
        <f t="shared" ca="1" si="3"/>
        <v>4.9488426194401489</v>
      </c>
      <c r="L57" s="8">
        <f t="shared" ca="1" si="9"/>
        <v>1.3544026804206983</v>
      </c>
    </row>
    <row r="58" spans="1:12" x14ac:dyDescent="0.4">
      <c r="A58" s="5">
        <v>46</v>
      </c>
      <c r="B58" s="4">
        <f t="shared" si="4"/>
        <v>4.6000000000000005</v>
      </c>
      <c r="C58" s="4">
        <f t="shared" si="2"/>
        <v>10.497379774329708</v>
      </c>
      <c r="D58" s="8">
        <f t="shared" ca="1" si="0"/>
        <v>10.499685420040965</v>
      </c>
      <c r="E58" s="4">
        <f t="shared" ca="1" si="5"/>
        <v>-0.75926808733688822</v>
      </c>
      <c r="F58" s="4">
        <f t="shared" ca="1" si="11"/>
        <v>1.1830266986441644</v>
      </c>
      <c r="G58" s="4">
        <f t="shared" ca="1" si="11"/>
        <v>5.2273804145289304</v>
      </c>
      <c r="H58" s="8">
        <f t="shared" ca="1" si="1"/>
        <v>5.2115551932326669</v>
      </c>
      <c r="I58" s="4">
        <f t="shared" ca="1" si="7"/>
        <v>5.0663328928239624</v>
      </c>
      <c r="J58" s="4">
        <f t="shared" si="8"/>
        <v>1.2646108160611873</v>
      </c>
      <c r="K58" s="8">
        <f t="shared" ca="1" si="3"/>
        <v>5.0808551228648327</v>
      </c>
      <c r="L58" s="8">
        <f t="shared" ca="1" si="9"/>
        <v>1.2791330461020578</v>
      </c>
    </row>
    <row r="59" spans="1:12" x14ac:dyDescent="0.4">
      <c r="A59" s="5">
        <v>47</v>
      </c>
      <c r="B59" s="4">
        <f t="shared" si="4"/>
        <v>4.7</v>
      </c>
      <c r="C59" s="4">
        <f t="shared" si="2"/>
        <v>10.37476262917145</v>
      </c>
      <c r="D59" s="8">
        <f t="shared" ca="1" si="0"/>
        <v>10.342520827105437</v>
      </c>
      <c r="E59" s="4">
        <f t="shared" ca="1" si="5"/>
        <v>-0.84050587153872747</v>
      </c>
      <c r="F59" s="4">
        <f t="shared" ca="1" si="11"/>
        <v>1.0989761114902916</v>
      </c>
      <c r="G59" s="4">
        <f t="shared" ca="1" si="11"/>
        <v>5.3372780256779597</v>
      </c>
      <c r="H59" s="8">
        <f t="shared" ca="1" si="1"/>
        <v>5.3200281928167223</v>
      </c>
      <c r="I59" s="4">
        <f t="shared" ca="1" si="7"/>
        <v>5.1942461974341683</v>
      </c>
      <c r="J59" s="4">
        <f t="shared" si="8"/>
        <v>1.1878877118880395</v>
      </c>
      <c r="K59" s="8">
        <f t="shared" ca="1" si="3"/>
        <v>5.2068243969724239</v>
      </c>
      <c r="L59" s="8">
        <f t="shared" ca="1" si="9"/>
        <v>1.200465911426295</v>
      </c>
    </row>
    <row r="60" spans="1:12" x14ac:dyDescent="0.4">
      <c r="A60" s="5">
        <v>48</v>
      </c>
      <c r="B60" s="4">
        <f t="shared" si="4"/>
        <v>4.8000000000000007</v>
      </c>
      <c r="C60" s="4">
        <f t="shared" si="2"/>
        <v>10.250666467128609</v>
      </c>
      <c r="D60" s="8">
        <f t="shared" ca="1" si="0"/>
        <v>10.404666798852276</v>
      </c>
      <c r="E60" s="4">
        <f t="shared" ca="1" si="5"/>
        <v>-0.69430931263801599</v>
      </c>
      <c r="F60" s="4">
        <f t="shared" ca="1" si="11"/>
        <v>1.0295451802264901</v>
      </c>
      <c r="G60" s="4">
        <f t="shared" ca="1" si="11"/>
        <v>5.4402325437006089</v>
      </c>
      <c r="H60" s="8">
        <f t="shared" ca="1" si="1"/>
        <v>5.4493030479712674</v>
      </c>
      <c r="I60" s="4">
        <f t="shared" ca="1" si="7"/>
        <v>5.3142927885767977</v>
      </c>
      <c r="J60" s="4">
        <f t="shared" si="8"/>
        <v>1.1065752036163807</v>
      </c>
      <c r="K60" s="8">
        <f t="shared" ca="1" si="3"/>
        <v>5.3277938145162445</v>
      </c>
      <c r="L60" s="8">
        <f t="shared" ca="1" si="9"/>
        <v>1.1200762295558278</v>
      </c>
    </row>
    <row r="61" spans="1:12" x14ac:dyDescent="0.4">
      <c r="A61" s="5">
        <v>49</v>
      </c>
      <c r="B61" s="4">
        <f t="shared" si="4"/>
        <v>4.9000000000000004</v>
      </c>
      <c r="C61" s="4">
        <f t="shared" si="2"/>
        <v>10.125581039058627</v>
      </c>
      <c r="D61" s="8">
        <f t="shared" ca="1" si="0"/>
        <v>10.128101239577683</v>
      </c>
      <c r="E61" s="4">
        <f t="shared" ca="1" si="5"/>
        <v>-0.90144394064880706</v>
      </c>
      <c r="F61" s="4">
        <f t="shared" ca="1" si="11"/>
        <v>0.93940078616160938</v>
      </c>
      <c r="G61" s="4">
        <f t="shared" ca="1" si="11"/>
        <v>5.5341726223167695</v>
      </c>
      <c r="H61" s="8">
        <f t="shared" ca="1" si="1"/>
        <v>5.5176352135561437</v>
      </c>
      <c r="I61" s="4">
        <f t="shared" ca="1" si="7"/>
        <v>5.4263004115323801</v>
      </c>
      <c r="J61" s="4">
        <f t="shared" si="8"/>
        <v>1.0209843299676036</v>
      </c>
      <c r="K61" s="8">
        <f t="shared" ca="1" si="3"/>
        <v>5.4354338917347569</v>
      </c>
      <c r="L61" s="8">
        <f t="shared" ca="1" si="9"/>
        <v>1.0301178101699799</v>
      </c>
    </row>
    <row r="62" spans="1:12" x14ac:dyDescent="0.4">
      <c r="A62" s="5">
        <v>50</v>
      </c>
      <c r="B62" s="4">
        <f t="shared" si="4"/>
        <v>5</v>
      </c>
      <c r="C62" s="4">
        <f t="shared" si="2"/>
        <v>10</v>
      </c>
      <c r="D62" s="8">
        <f t="shared" ca="1" si="0"/>
        <v>10.025631696555287</v>
      </c>
      <c r="E62" s="4">
        <f t="shared" ca="1" si="5"/>
        <v>-0.91376908960632242</v>
      </c>
      <c r="F62" s="4">
        <f t="shared" ref="F62:G77" ca="1" si="12">F61+E62*$E$2</f>
        <v>0.84802387720097716</v>
      </c>
      <c r="G62" s="4">
        <f t="shared" ca="1" si="12"/>
        <v>5.6189750100368672</v>
      </c>
      <c r="H62" s="8">
        <f t="shared" ca="1" si="1"/>
        <v>5.6194739916280128</v>
      </c>
      <c r="I62" s="4">
        <f t="shared" ca="1" si="7"/>
        <v>5.5293121925493782</v>
      </c>
      <c r="J62" s="4">
        <f t="shared" si="8"/>
        <v>0.93144400087670587</v>
      </c>
      <c r="K62" s="8">
        <f t="shared" ca="1" si="3"/>
        <v>5.5383283724572419</v>
      </c>
      <c r="L62" s="8">
        <f t="shared" ca="1" si="9"/>
        <v>0.94046018078456928</v>
      </c>
    </row>
    <row r="63" spans="1:12" x14ac:dyDescent="0.4">
      <c r="A63" s="5">
        <v>51</v>
      </c>
      <c r="B63" s="4">
        <f t="shared" si="4"/>
        <v>5.1000000000000005</v>
      </c>
      <c r="C63" s="4">
        <f t="shared" si="2"/>
        <v>9.8744189609413731</v>
      </c>
      <c r="D63" s="8">
        <f t="shared" ca="1" si="0"/>
        <v>9.8508760913098978</v>
      </c>
      <c r="E63" s="4">
        <f t="shared" ca="1" si="5"/>
        <v>-0.99714778589107933</v>
      </c>
      <c r="F63" s="4">
        <f t="shared" ca="1" si="12"/>
        <v>0.74830909861186923</v>
      </c>
      <c r="G63" s="4">
        <f t="shared" ca="1" si="12"/>
        <v>5.693805919898054</v>
      </c>
      <c r="H63" s="8">
        <f t="shared" ca="1" si="1"/>
        <v>5.6882252159702489</v>
      </c>
      <c r="I63" s="4">
        <f t="shared" ca="1" si="7"/>
        <v>5.6233582106278348</v>
      </c>
      <c r="J63" s="4">
        <f t="shared" si="8"/>
        <v>0.83829960078903532</v>
      </c>
      <c r="K63" s="8">
        <f t="shared" ca="1" si="3"/>
        <v>5.6298449111620759</v>
      </c>
      <c r="L63" s="8">
        <f t="shared" ca="1" si="9"/>
        <v>0.8447863013232767</v>
      </c>
    </row>
    <row r="64" spans="1:12" x14ac:dyDescent="0.4">
      <c r="A64" s="5">
        <v>52</v>
      </c>
      <c r="B64" s="4">
        <f t="shared" si="4"/>
        <v>5.2</v>
      </c>
      <c r="C64" s="4">
        <f t="shared" si="2"/>
        <v>9.7493335328713915</v>
      </c>
      <c r="D64" s="8">
        <f t="shared" ca="1" si="0"/>
        <v>9.6926932748683967</v>
      </c>
      <c r="E64" s="4">
        <f t="shared" ca="1" si="5"/>
        <v>-1.0556158237434725</v>
      </c>
      <c r="F64" s="4">
        <f t="shared" ca="1" si="12"/>
        <v>0.64274751623752202</v>
      </c>
      <c r="G64" s="4">
        <f t="shared" ca="1" si="12"/>
        <v>5.7580806715218058</v>
      </c>
      <c r="H64" s="8">
        <f t="shared" ca="1" si="1"/>
        <v>5.7635551028946779</v>
      </c>
      <c r="I64" s="4">
        <f t="shared" ca="1" si="7"/>
        <v>5.7078368407601623</v>
      </c>
      <c r="J64" s="4">
        <f t="shared" si="8"/>
        <v>0.74191153680426913</v>
      </c>
      <c r="K64" s="8">
        <f t="shared" ca="1" si="3"/>
        <v>5.7134086669736135</v>
      </c>
      <c r="L64" s="8">
        <f t="shared" ca="1" si="9"/>
        <v>0.74748336301772067</v>
      </c>
    </row>
    <row r="65" spans="1:12" x14ac:dyDescent="0.4">
      <c r="A65" s="5">
        <v>53</v>
      </c>
      <c r="B65" s="4">
        <f t="shared" si="4"/>
        <v>5.3000000000000007</v>
      </c>
      <c r="C65" s="4">
        <f t="shared" si="2"/>
        <v>9.6252373708285504</v>
      </c>
      <c r="D65" s="8">
        <f t="shared" ca="1" si="0"/>
        <v>9.6414081372723945</v>
      </c>
      <c r="E65" s="4">
        <f t="shared" ca="1" si="5"/>
        <v>-1.0013393789651275</v>
      </c>
      <c r="F65" s="4">
        <f t="shared" ca="1" si="12"/>
        <v>0.54261357834100932</v>
      </c>
      <c r="G65" s="4">
        <f t="shared" ca="1" si="12"/>
        <v>5.8123420293559072</v>
      </c>
      <c r="H65" s="8">
        <f t="shared" ca="1" si="1"/>
        <v>5.8262518585866463</v>
      </c>
      <c r="I65" s="4">
        <f t="shared" ca="1" si="7"/>
        <v>5.7825851770619341</v>
      </c>
      <c r="J65" s="4">
        <f t="shared" si="8"/>
        <v>0.64265373641098134</v>
      </c>
      <c r="K65" s="8">
        <f t="shared" ca="1" si="3"/>
        <v>5.7869518452144053</v>
      </c>
      <c r="L65" s="8">
        <f t="shared" ca="1" si="9"/>
        <v>0.64702040456345256</v>
      </c>
    </row>
    <row r="66" spans="1:12" x14ac:dyDescent="0.4">
      <c r="A66" s="5">
        <v>54</v>
      </c>
      <c r="B66" s="4">
        <f t="shared" si="4"/>
        <v>5.4</v>
      </c>
      <c r="C66" s="4">
        <f t="shared" si="2"/>
        <v>9.5026202256702916</v>
      </c>
      <c r="D66" s="8">
        <f t="shared" ca="1" si="0"/>
        <v>9.4572698610121186</v>
      </c>
      <c r="E66" s="4">
        <f t="shared" ca="1" si="5"/>
        <v>-1.0853437173288907</v>
      </c>
      <c r="F66" s="4">
        <f t="shared" ca="1" si="12"/>
        <v>0.43407920660812027</v>
      </c>
      <c r="G66" s="4">
        <f t="shared" ca="1" si="12"/>
        <v>5.8557499500167189</v>
      </c>
      <c r="H66" s="8">
        <f t="shared" ca="1" si="1"/>
        <v>5.8638272846356188</v>
      </c>
      <c r="I66" s="4">
        <f t="shared" ca="1" si="7"/>
        <v>5.8472872175182795</v>
      </c>
      <c r="J66" s="4">
        <f t="shared" si="8"/>
        <v>0.54091209985273825</v>
      </c>
      <c r="K66" s="8">
        <f t="shared" ca="1" si="3"/>
        <v>5.8489412242300132</v>
      </c>
      <c r="L66" s="8">
        <f t="shared" ca="1" si="9"/>
        <v>0.54256610656447213</v>
      </c>
    </row>
    <row r="67" spans="1:12" x14ac:dyDescent="0.4">
      <c r="A67" s="5">
        <v>55</v>
      </c>
      <c r="B67" s="4">
        <f t="shared" si="4"/>
        <v>5.5</v>
      </c>
      <c r="C67" s="4">
        <f t="shared" si="2"/>
        <v>9.3819660112501069</v>
      </c>
      <c r="D67" s="8">
        <f t="shared" ca="1" si="0"/>
        <v>9.3414624168449603</v>
      </c>
      <c r="E67" s="4">
        <f t="shared" ca="1" si="5"/>
        <v>-1.09261678976316</v>
      </c>
      <c r="F67" s="4">
        <f t="shared" ca="1" si="12"/>
        <v>0.32481752763180427</v>
      </c>
      <c r="G67" s="4">
        <f t="shared" ca="1" si="12"/>
        <v>5.8882317027798994</v>
      </c>
      <c r="H67" s="8">
        <f t="shared" ca="1" si="1"/>
        <v>5.8817610239423992</v>
      </c>
      <c r="I67" s="4">
        <f t="shared" ca="1" si="7"/>
        <v>5.9015438281747263</v>
      </c>
      <c r="J67" s="4">
        <f t="shared" si="8"/>
        <v>0.4370829124344936</v>
      </c>
      <c r="K67" s="8">
        <f t="shared" ca="1" si="3"/>
        <v>5.8995655477514939</v>
      </c>
      <c r="L67" s="8">
        <f t="shared" ca="1" si="9"/>
        <v>0.43510463201126087</v>
      </c>
    </row>
    <row r="68" spans="1:12" x14ac:dyDescent="0.4">
      <c r="A68" s="5">
        <v>56</v>
      </c>
      <c r="B68" s="4">
        <f t="shared" si="4"/>
        <v>5.6000000000000005</v>
      </c>
      <c r="C68" s="4">
        <f t="shared" si="2"/>
        <v>9.2637508946306433</v>
      </c>
      <c r="D68" s="8">
        <f t="shared" ca="1" si="0"/>
        <v>9.300111531646591</v>
      </c>
      <c r="E68" s="4">
        <f t="shared" ca="1" si="5"/>
        <v>-1.0247059959852134</v>
      </c>
      <c r="F68" s="4">
        <f t="shared" ca="1" si="12"/>
        <v>0.22234692803328293</v>
      </c>
      <c r="G68" s="4">
        <f t="shared" ca="1" si="12"/>
        <v>5.9104663955832279</v>
      </c>
      <c r="H68" s="8">
        <f t="shared" ca="1" si="1"/>
        <v>5.9127745173166835</v>
      </c>
      <c r="I68" s="4">
        <f t="shared" ca="1" si="7"/>
        <v>5.9450542913758522</v>
      </c>
      <c r="J68" s="4">
        <f t="shared" si="8"/>
        <v>0.33157122231605496</v>
      </c>
      <c r="K68" s="8">
        <f t="shared" ca="1" si="3"/>
        <v>5.9418263139699352</v>
      </c>
      <c r="L68" s="8">
        <f t="shared" ca="1" si="9"/>
        <v>0.32834324491013811</v>
      </c>
    </row>
    <row r="69" spans="1:12" x14ac:dyDescent="0.4">
      <c r="A69" s="5">
        <v>57</v>
      </c>
      <c r="B69" s="4">
        <f t="shared" si="4"/>
        <v>5.7</v>
      </c>
      <c r="C69" s="4">
        <f t="shared" si="2"/>
        <v>9.1484414168698542</v>
      </c>
      <c r="D69" s="8">
        <f t="shared" ca="1" si="0"/>
        <v>9.0937030728137334</v>
      </c>
      <c r="E69" s="4">
        <f t="shared" ca="1" si="5"/>
        <v>-1.1286438552195497</v>
      </c>
      <c r="F69" s="4">
        <f t="shared" ca="1" si="12"/>
        <v>0.10948254251132795</v>
      </c>
      <c r="G69" s="4">
        <f t="shared" ca="1" si="12"/>
        <v>5.9214146498343609</v>
      </c>
      <c r="H69" s="8">
        <f t="shared" ca="1" si="1"/>
        <v>5.9155271988579292</v>
      </c>
      <c r="I69" s="4">
        <f t="shared" ca="1" si="7"/>
        <v>5.977888615866866</v>
      </c>
      <c r="J69" s="4">
        <f t="shared" si="8"/>
        <v>0.22478918954751378</v>
      </c>
      <c r="K69" s="8">
        <f t="shared" ca="1" si="3"/>
        <v>5.971652474165972</v>
      </c>
      <c r="L69" s="8">
        <f t="shared" ca="1" si="9"/>
        <v>0.21855304784662011</v>
      </c>
    </row>
    <row r="70" spans="1:12" x14ac:dyDescent="0.4">
      <c r="A70" s="5">
        <v>58</v>
      </c>
      <c r="B70" s="4">
        <f t="shared" si="4"/>
        <v>5.8000000000000007</v>
      </c>
      <c r="C70" s="4">
        <f t="shared" si="2"/>
        <v>9.0364926517965678</v>
      </c>
      <c r="D70" s="8">
        <f t="shared" ca="1" si="0"/>
        <v>9.0853540247719042</v>
      </c>
      <c r="E70" s="4">
        <f t="shared" ca="1" si="5"/>
        <v>-1.0241285177394237</v>
      </c>
      <c r="F70" s="4">
        <f t="shared" ca="1" si="12"/>
        <v>7.0696907373855727E-3</v>
      </c>
      <c r="G70" s="4">
        <f t="shared" ca="1" si="12"/>
        <v>5.9221216189080996</v>
      </c>
      <c r="H70" s="8">
        <f t="shared" ca="1" si="1"/>
        <v>5.914177744471611</v>
      </c>
      <c r="I70" s="4">
        <f t="shared" ca="1" si="7"/>
        <v>5.999743920651528</v>
      </c>
      <c r="J70" s="4">
        <f t="shared" si="8"/>
        <v>0.11715441227974782</v>
      </c>
      <c r="K70" s="8">
        <f t="shared" ca="1" si="3"/>
        <v>5.9911873030335361</v>
      </c>
      <c r="L70" s="8">
        <f t="shared" ca="1" si="9"/>
        <v>0.10859779466175613</v>
      </c>
    </row>
    <row r="71" spans="1:12" x14ac:dyDescent="0.4">
      <c r="A71" s="5">
        <v>59</v>
      </c>
      <c r="B71" s="4">
        <f t="shared" si="4"/>
        <v>5.9</v>
      </c>
      <c r="C71" s="4">
        <f t="shared" si="2"/>
        <v>8.9283464100420069</v>
      </c>
      <c r="D71" s="8">
        <f t="shared" ca="1" si="0"/>
        <v>8.9486294710993732</v>
      </c>
      <c r="E71" s="4">
        <f t="shared" ca="1" si="5"/>
        <v>-1.0584402196380123</v>
      </c>
      <c r="F71" s="4">
        <f t="shared" ca="1" si="12"/>
        <v>-9.8774331226415657E-2</v>
      </c>
      <c r="G71" s="4">
        <f t="shared" ca="1" si="12"/>
        <v>5.9122441857854584</v>
      </c>
      <c r="H71" s="8">
        <f t="shared" ca="1" si="1"/>
        <v>5.9232274412722017</v>
      </c>
      <c r="I71" s="4">
        <f t="shared" ca="1" si="7"/>
        <v>6.010603700117704</v>
      </c>
      <c r="J71" s="4">
        <f t="shared" si="8"/>
        <v>9.0882362314298054E-3</v>
      </c>
      <c r="K71" s="8">
        <f t="shared" ca="1" si="3"/>
        <v>6.0018660742331535</v>
      </c>
      <c r="L71" s="8">
        <f t="shared" ca="1" si="9"/>
        <v>3.5061034687957834E-4</v>
      </c>
    </row>
    <row r="72" spans="1:12" x14ac:dyDescent="0.4">
      <c r="A72" s="5">
        <v>60</v>
      </c>
      <c r="B72" s="4">
        <f t="shared" si="4"/>
        <v>6</v>
      </c>
      <c r="C72" s="4">
        <f t="shared" si="2"/>
        <v>8.8244294954150533</v>
      </c>
      <c r="D72" s="8">
        <f t="shared" ca="1" si="0"/>
        <v>8.9698186697251696</v>
      </c>
      <c r="E72" s="4">
        <f t="shared" ca="1" si="5"/>
        <v>-0.93140699904841473</v>
      </c>
      <c r="F72" s="4">
        <f t="shared" ca="1" si="12"/>
        <v>-0.19191503113125713</v>
      </c>
      <c r="G72" s="4">
        <f t="shared" ca="1" si="12"/>
        <v>5.8930526826723328</v>
      </c>
      <c r="H72" s="8">
        <f t="shared" ca="1" si="1"/>
        <v>5.9140564019216821</v>
      </c>
      <c r="I72" s="4">
        <f t="shared" ca="1" si="7"/>
        <v>6.0106387611523919</v>
      </c>
      <c r="J72" s="4">
        <f t="shared" si="8"/>
        <v>-9.89859463875125E-2</v>
      </c>
      <c r="K72" s="8">
        <f t="shared" ca="1" si="3"/>
        <v>6.0009805252293207</v>
      </c>
      <c r="L72" s="8">
        <f t="shared" ca="1" si="9"/>
        <v>-0.10864418231058348</v>
      </c>
    </row>
    <row r="73" spans="1:12" x14ac:dyDescent="0.4">
      <c r="A73" s="5">
        <v>61</v>
      </c>
      <c r="B73" s="4">
        <f t="shared" si="4"/>
        <v>6.1000000000000005</v>
      </c>
      <c r="C73" s="4">
        <f t="shared" si="2"/>
        <v>8.7251520205026196</v>
      </c>
      <c r="D73" s="8">
        <f t="shared" ca="1" si="0"/>
        <v>8.6655458390781472</v>
      </c>
      <c r="E73" s="4">
        <f t="shared" ca="1" si="5"/>
        <v>-1.1425391297905956</v>
      </c>
      <c r="F73" s="4">
        <f t="shared" ca="1" si="12"/>
        <v>-0.3061689441103167</v>
      </c>
      <c r="G73" s="4">
        <f t="shared" ca="1" si="12"/>
        <v>5.8624357882613012</v>
      </c>
      <c r="H73" s="8">
        <f t="shared" ca="1" si="1"/>
        <v>5.8483733432444973</v>
      </c>
      <c r="I73" s="4">
        <f t="shared" ca="1" si="7"/>
        <v>5.9997743429213335</v>
      </c>
      <c r="J73" s="4">
        <f t="shared" si="8"/>
        <v>-0.20664440220725594</v>
      </c>
      <c r="K73" s="8">
        <f t="shared" ca="1" si="3"/>
        <v>5.9846342429536499</v>
      </c>
      <c r="L73" s="8">
        <f t="shared" ca="1" si="9"/>
        <v>-0.22178450217493956</v>
      </c>
    </row>
    <row r="74" spans="1:12" x14ac:dyDescent="0.4">
      <c r="A74" s="5">
        <v>62</v>
      </c>
      <c r="B74" s="4">
        <f t="shared" si="4"/>
        <v>6.2</v>
      </c>
      <c r="C74" s="4">
        <f t="shared" si="2"/>
        <v>8.6309057881426234</v>
      </c>
      <c r="D74" s="8">
        <f t="shared" ca="1" si="0"/>
        <v>8.6795649973577298</v>
      </c>
      <c r="E74" s="4">
        <f t="shared" ca="1" si="5"/>
        <v>-1.0142660585319536</v>
      </c>
      <c r="F74" s="4">
        <f t="shared" ca="1" si="12"/>
        <v>-0.40759554996351205</v>
      </c>
      <c r="G74" s="4">
        <f t="shared" ca="1" si="12"/>
        <v>5.8216762332649497</v>
      </c>
      <c r="H74" s="8">
        <f t="shared" ca="1" si="1"/>
        <v>5.8310729295673571</v>
      </c>
      <c r="I74" s="4">
        <f t="shared" ca="1" si="7"/>
        <v>5.9775958927038397</v>
      </c>
      <c r="J74" s="4">
        <f t="shared" si="8"/>
        <v>-0.31346475993626843</v>
      </c>
      <c r="K74" s="8">
        <f t="shared" ca="1" si="3"/>
        <v>5.9629435963901916</v>
      </c>
      <c r="L74" s="8">
        <f t="shared" ca="1" si="9"/>
        <v>-0.32811705624991672</v>
      </c>
    </row>
    <row r="75" spans="1:12" x14ac:dyDescent="0.4">
      <c r="A75" s="5">
        <v>63</v>
      </c>
      <c r="B75" s="4">
        <f t="shared" si="4"/>
        <v>6.3000000000000007</v>
      </c>
      <c r="C75" s="4">
        <f t="shared" si="2"/>
        <v>8.5420627451571765</v>
      </c>
      <c r="D75" s="8">
        <f t="shared" ca="1" si="0"/>
        <v>8.5827035647968071</v>
      </c>
      <c r="E75" s="4">
        <f t="shared" ca="1" si="5"/>
        <v>-1.0097008852396809</v>
      </c>
      <c r="F75" s="4">
        <f t="shared" ca="1" si="12"/>
        <v>-0.50856563848748015</v>
      </c>
      <c r="G75" s="4">
        <f t="shared" ca="1" si="12"/>
        <v>5.7708196694162019</v>
      </c>
      <c r="H75" s="8">
        <f t="shared" ca="1" si="1"/>
        <v>5.766208998295423</v>
      </c>
      <c r="I75" s="4">
        <f t="shared" ca="1" si="7"/>
        <v>5.9447841870788478</v>
      </c>
      <c r="J75" s="4">
        <f t="shared" si="8"/>
        <v>-0.41902770512837928</v>
      </c>
      <c r="K75" s="8">
        <f t="shared" ca="1" si="3"/>
        <v>5.9269266682005055</v>
      </c>
      <c r="L75" s="8">
        <f t="shared" ca="1" si="9"/>
        <v>-0.43688522400672175</v>
      </c>
    </row>
    <row r="76" spans="1:12" x14ac:dyDescent="0.4">
      <c r="A76" s="5">
        <v>64</v>
      </c>
      <c r="B76" s="4">
        <f t="shared" si="4"/>
        <v>6.4</v>
      </c>
      <c r="C76" s="4">
        <f t="shared" si="2"/>
        <v>8.4589735144484219</v>
      </c>
      <c r="D76" s="8">
        <f t="shared" ca="1" si="0"/>
        <v>8.4335840635918409</v>
      </c>
      <c r="E76" s="4">
        <f t="shared" ca="1" si="5"/>
        <v>-1.057850297920679</v>
      </c>
      <c r="F76" s="4">
        <f t="shared" ca="1" si="12"/>
        <v>-0.6143506682795481</v>
      </c>
      <c r="G76" s="4">
        <f t="shared" ca="1" si="12"/>
        <v>5.7093846025882469</v>
      </c>
      <c r="H76" s="8">
        <f t="shared" ref="H76:H112" ca="1" si="13">G76+IF($C$6&lt;=0,0,_xlfn.NORM.INV(RAND(),0,$C$6))</f>
        <v>5.706794119779433</v>
      </c>
      <c r="I76" s="4">
        <f t="shared" ca="1" si="7"/>
        <v>5.9010956646781754</v>
      </c>
      <c r="J76" s="4">
        <f t="shared" si="8"/>
        <v>-0.52291866009982368</v>
      </c>
      <c r="K76" s="8">
        <f t="shared" ca="1" si="3"/>
        <v>5.8816655101883013</v>
      </c>
      <c r="L76" s="8">
        <f t="shared" ca="1" si="9"/>
        <v>-0.54234881458969797</v>
      </c>
    </row>
    <row r="77" spans="1:12" x14ac:dyDescent="0.4">
      <c r="A77" s="5">
        <v>65</v>
      </c>
      <c r="B77" s="4">
        <f t="shared" si="4"/>
        <v>6.5</v>
      </c>
      <c r="C77" s="4">
        <f t="shared" ref="C77:C112" si="14">10+2*SIN(B77*2*PI()/10)</f>
        <v>8.3819660112501051</v>
      </c>
      <c r="D77" s="8">
        <f t="shared" ref="D77:D112" ca="1" si="15">C77+IF($B$6&lt;=0,0,_xlfn.NORM.INV(RAND(),0,$B$6))</f>
        <v>8.3951300784093768</v>
      </c>
      <c r="E77" s="4">
        <f t="shared" ca="1" si="5"/>
        <v>-0.99051925331107515</v>
      </c>
      <c r="F77" s="4">
        <f t="shared" ca="1" si="12"/>
        <v>-0.71340259361065561</v>
      </c>
      <c r="G77" s="4">
        <f t="shared" ca="1" si="12"/>
        <v>5.6380443432271816</v>
      </c>
      <c r="H77" s="8">
        <f t="shared" ca="1" si="13"/>
        <v>5.6416803232760833</v>
      </c>
      <c r="I77" s="4">
        <f t="shared" ca="1" si="7"/>
        <v>5.8468607832192054</v>
      </c>
      <c r="J77" s="4">
        <f t="shared" si="8"/>
        <v>-0.62472944264499919</v>
      </c>
      <c r="K77" s="8">
        <f t="shared" ref="K77:K112" ca="1" si="16">I77+$B$8*(H77-I77)</f>
        <v>5.826342737224893</v>
      </c>
      <c r="L77" s="8">
        <f t="shared" ca="1" si="9"/>
        <v>-0.64524748863931136</v>
      </c>
    </row>
    <row r="78" spans="1:12" x14ac:dyDescent="0.4">
      <c r="A78" s="5">
        <v>66</v>
      </c>
      <c r="B78" s="4">
        <f t="shared" ref="B78:B112" si="17">A78*$E$2</f>
        <v>6.6000000000000005</v>
      </c>
      <c r="C78" s="4">
        <f t="shared" si="14"/>
        <v>8.3113441489959712</v>
      </c>
      <c r="D78" s="8">
        <f t="shared" ca="1" si="15"/>
        <v>8.2801548757123822</v>
      </c>
      <c r="E78" s="4">
        <f t="shared" ref="E78:E112" ca="1" si="18">(D78+$C$2+$D$2*F77)/$B$2</f>
        <v>-1.0064425306769622</v>
      </c>
      <c r="F78" s="4">
        <f t="shared" ref="F78:G93" ca="1" si="19">F77+E78*$E$2</f>
        <v>-0.81404684667835181</v>
      </c>
      <c r="G78" s="4">
        <f t="shared" ca="1" si="19"/>
        <v>5.5566396585593463</v>
      </c>
      <c r="H78" s="8">
        <f t="shared" ca="1" si="13"/>
        <v>5.5520045741958954</v>
      </c>
      <c r="I78" s="4">
        <f t="shared" ref="I78:I112" ca="1" si="20">I77+L77*$E$2</f>
        <v>5.7823360343552741</v>
      </c>
      <c r="J78" s="4">
        <f t="shared" ref="J78:J112" si="21">(1+$D$2*$E$2/$B$2)*J77+$E$2*(C77+$C$2)/$B$2</f>
        <v>-0.7240598972554888</v>
      </c>
      <c r="K78" s="8">
        <f t="shared" ca="1" si="16"/>
        <v>5.7593028883393362</v>
      </c>
      <c r="L78" s="8">
        <f t="shared" ref="L78:L112" ca="1" si="22">J78+$C$8*(H78-I78)/$E$2</f>
        <v>-0.74709304327142667</v>
      </c>
    </row>
    <row r="79" spans="1:12" x14ac:dyDescent="0.4">
      <c r="A79" s="5">
        <v>67</v>
      </c>
      <c r="B79" s="4">
        <f t="shared" si="17"/>
        <v>6.7</v>
      </c>
      <c r="C79" s="4">
        <f t="shared" si="14"/>
        <v>8.2473866399122731</v>
      </c>
      <c r="D79" s="8">
        <f t="shared" ca="1" si="15"/>
        <v>8.1119629516147462</v>
      </c>
      <c r="E79" s="4">
        <f t="shared" ca="1" si="18"/>
        <v>-1.0739902017069021</v>
      </c>
      <c r="F79" s="4">
        <f t="shared" ca="1" si="19"/>
        <v>-0.92144586684904206</v>
      </c>
      <c r="G79" s="4">
        <f t="shared" ca="1" si="19"/>
        <v>5.4644950718744418</v>
      </c>
      <c r="H79" s="8">
        <f t="shared" ca="1" si="13"/>
        <v>5.4657120357097124</v>
      </c>
      <c r="I79" s="4">
        <f t="shared" ca="1" si="20"/>
        <v>5.7076267300281316</v>
      </c>
      <c r="J79" s="4">
        <f t="shared" si="21"/>
        <v>-0.82051949263034274</v>
      </c>
      <c r="K79" s="8">
        <f t="shared" ca="1" si="16"/>
        <v>5.6834352605962897</v>
      </c>
      <c r="L79" s="8">
        <f t="shared" ca="1" si="22"/>
        <v>-0.84471096206218466</v>
      </c>
    </row>
    <row r="80" spans="1:12" x14ac:dyDescent="0.4">
      <c r="A80" s="5">
        <v>68</v>
      </c>
      <c r="B80" s="4">
        <f t="shared" si="17"/>
        <v>6.8000000000000007</v>
      </c>
      <c r="C80" s="4">
        <f t="shared" si="14"/>
        <v>8.19034589506796</v>
      </c>
      <c r="D80" s="8">
        <f t="shared" ca="1" si="15"/>
        <v>8.2221359140351371</v>
      </c>
      <c r="E80" s="4">
        <f t="shared" ca="1" si="18"/>
        <v>-0.85641821911582083</v>
      </c>
      <c r="F80" s="4">
        <f t="shared" ca="1" si="19"/>
        <v>-1.0070876887606242</v>
      </c>
      <c r="G80" s="4">
        <f t="shared" ca="1" si="19"/>
        <v>5.3637863029983794</v>
      </c>
      <c r="H80" s="8">
        <f t="shared" ca="1" si="13"/>
        <v>5.3485463107150055</v>
      </c>
      <c r="I80" s="4">
        <f t="shared" ca="1" si="20"/>
        <v>5.6231556338219129</v>
      </c>
      <c r="J80" s="4">
        <f t="shared" si="21"/>
        <v>-0.91372887937608116</v>
      </c>
      <c r="K80" s="8">
        <f t="shared" ca="1" si="16"/>
        <v>5.5956947015112224</v>
      </c>
      <c r="L80" s="8">
        <f t="shared" ca="1" si="22"/>
        <v>-0.94118981168677185</v>
      </c>
    </row>
    <row r="81" spans="1:12" x14ac:dyDescent="0.4">
      <c r="A81" s="5">
        <v>69</v>
      </c>
      <c r="B81" s="4">
        <f t="shared" si="17"/>
        <v>6.9</v>
      </c>
      <c r="C81" s="4">
        <f t="shared" si="14"/>
        <v>8.1404470282234964</v>
      </c>
      <c r="D81" s="8">
        <f t="shared" ca="1" si="15"/>
        <v>7.8911372279154888</v>
      </c>
      <c r="E81" s="4">
        <f t="shared" ca="1" si="18"/>
        <v>-1.1017750833238871</v>
      </c>
      <c r="F81" s="4">
        <f t="shared" ca="1" si="19"/>
        <v>-1.1172651970930128</v>
      </c>
      <c r="G81" s="4">
        <f t="shared" ca="1" si="19"/>
        <v>5.2520597832890781</v>
      </c>
      <c r="H81" s="8">
        <f t="shared" ca="1" si="13"/>
        <v>5.2527682011296033</v>
      </c>
      <c r="I81" s="4">
        <f t="shared" ca="1" si="20"/>
        <v>5.529036652653236</v>
      </c>
      <c r="J81" s="4">
        <f t="shared" si="21"/>
        <v>-1.003321401931677</v>
      </c>
      <c r="K81" s="8">
        <f t="shared" ca="1" si="16"/>
        <v>5.5014098075008731</v>
      </c>
      <c r="L81" s="8">
        <f t="shared" ca="1" si="22"/>
        <v>-1.0309482470840403</v>
      </c>
    </row>
    <row r="82" spans="1:12" x14ac:dyDescent="0.4">
      <c r="A82" s="5">
        <v>70</v>
      </c>
      <c r="B82" s="4">
        <f t="shared" si="17"/>
        <v>7</v>
      </c>
      <c r="C82" s="4">
        <f t="shared" si="14"/>
        <v>8.0978869674096927</v>
      </c>
      <c r="D82" s="8">
        <f t="shared" ca="1" si="15"/>
        <v>8.2404290428724245</v>
      </c>
      <c r="E82" s="4">
        <f t="shared" ca="1" si="18"/>
        <v>-0.64230576003456274</v>
      </c>
      <c r="F82" s="4">
        <f t="shared" ca="1" si="19"/>
        <v>-1.181495773096469</v>
      </c>
      <c r="G82" s="4">
        <f t="shared" ca="1" si="19"/>
        <v>5.133910205979431</v>
      </c>
      <c r="H82" s="8">
        <f t="shared" ca="1" si="13"/>
        <v>5.1318577290577165</v>
      </c>
      <c r="I82" s="4">
        <f t="shared" ca="1" si="20"/>
        <v>5.4259418279448317</v>
      </c>
      <c r="J82" s="4">
        <f t="shared" si="21"/>
        <v>-1.0889445589161597</v>
      </c>
      <c r="K82" s="8">
        <f t="shared" ca="1" si="16"/>
        <v>5.3965334180561202</v>
      </c>
      <c r="L82" s="8">
        <f t="shared" ca="1" si="22"/>
        <v>-1.1183529688048712</v>
      </c>
    </row>
    <row r="83" spans="1:12" x14ac:dyDescent="0.4">
      <c r="A83" s="5">
        <v>71</v>
      </c>
      <c r="B83" s="4">
        <f t="shared" si="17"/>
        <v>7.1000000000000005</v>
      </c>
      <c r="C83" s="4">
        <f t="shared" si="14"/>
        <v>8.0628336777427378</v>
      </c>
      <c r="D83" s="8">
        <f t="shared" ca="1" si="15"/>
        <v>7.997832215998212</v>
      </c>
      <c r="E83" s="4">
        <f t="shared" ca="1" si="18"/>
        <v>-0.82067201090531894</v>
      </c>
      <c r="F83" s="4">
        <f t="shared" ca="1" si="19"/>
        <v>-1.2635629741870009</v>
      </c>
      <c r="G83" s="4">
        <f t="shared" ca="1" si="19"/>
        <v>5.0075539085607312</v>
      </c>
      <c r="H83" s="8">
        <f t="shared" ca="1" si="13"/>
        <v>4.9992392416812228</v>
      </c>
      <c r="I83" s="4">
        <f t="shared" ca="1" si="20"/>
        <v>5.3141065310643443</v>
      </c>
      <c r="J83" s="4">
        <f t="shared" si="21"/>
        <v>-1.1702614062835746</v>
      </c>
      <c r="K83" s="8">
        <f t="shared" ca="1" si="16"/>
        <v>5.2826198021260318</v>
      </c>
      <c r="L83" s="8">
        <f t="shared" ca="1" si="22"/>
        <v>-1.2017481352218866</v>
      </c>
    </row>
    <row r="84" spans="1:12" x14ac:dyDescent="0.4">
      <c r="A84" s="5">
        <v>72</v>
      </c>
      <c r="B84" s="4">
        <f t="shared" si="17"/>
        <v>7.2</v>
      </c>
      <c r="C84" s="4">
        <f t="shared" si="14"/>
        <v>8.0354254985426223</v>
      </c>
      <c r="D84" s="8">
        <f t="shared" ca="1" si="15"/>
        <v>7.9719305239635014</v>
      </c>
      <c r="E84" s="4">
        <f t="shared" ca="1" si="18"/>
        <v>-0.76450650184949764</v>
      </c>
      <c r="F84" s="4">
        <f t="shared" ca="1" si="19"/>
        <v>-1.3400136243719507</v>
      </c>
      <c r="G84" s="4">
        <f t="shared" ca="1" si="19"/>
        <v>4.8735525461235358</v>
      </c>
      <c r="H84" s="8">
        <f t="shared" ca="1" si="13"/>
        <v>4.8710760314874477</v>
      </c>
      <c r="I84" s="4">
        <f t="shared" ca="1" si="20"/>
        <v>5.1939317175421555</v>
      </c>
      <c r="J84" s="4">
        <f t="shared" si="21"/>
        <v>-1.2469518978809433</v>
      </c>
      <c r="K84" s="8">
        <f t="shared" ca="1" si="16"/>
        <v>5.1616461489366845</v>
      </c>
      <c r="L84" s="8">
        <f t="shared" ca="1" si="22"/>
        <v>-1.2792374664864141</v>
      </c>
    </row>
    <row r="85" spans="1:12" x14ac:dyDescent="0.4">
      <c r="A85" s="5">
        <v>73</v>
      </c>
      <c r="B85" s="4">
        <f t="shared" si="17"/>
        <v>7.3000000000000007</v>
      </c>
      <c r="C85" s="4">
        <f t="shared" si="14"/>
        <v>8.0157705973710449</v>
      </c>
      <c r="D85" s="8">
        <f t="shared" ca="1" si="15"/>
        <v>7.9432269750161506</v>
      </c>
      <c r="E85" s="4">
        <f t="shared" ca="1" si="18"/>
        <v>-0.71675940061189869</v>
      </c>
      <c r="F85" s="4">
        <f t="shared" ca="1" si="19"/>
        <v>-1.4116895644331406</v>
      </c>
      <c r="G85" s="4">
        <f t="shared" ca="1" si="19"/>
        <v>4.7323835896802215</v>
      </c>
      <c r="H85" s="8">
        <f t="shared" ca="1" si="13"/>
        <v>4.7320143876308824</v>
      </c>
      <c r="I85" s="4">
        <f t="shared" ca="1" si="20"/>
        <v>5.066007970893514</v>
      </c>
      <c r="J85" s="4">
        <f t="shared" si="21"/>
        <v>-1.3187141582385866</v>
      </c>
      <c r="K85" s="8">
        <f t="shared" ca="1" si="16"/>
        <v>5.0326086125672509</v>
      </c>
      <c r="L85" s="8">
        <f t="shared" ca="1" si="22"/>
        <v>-1.3521135165648497</v>
      </c>
    </row>
    <row r="86" spans="1:12" x14ac:dyDescent="0.4">
      <c r="A86" s="5">
        <v>74</v>
      </c>
      <c r="B86" s="4">
        <f t="shared" si="17"/>
        <v>7.4</v>
      </c>
      <c r="C86" s="4">
        <f t="shared" si="14"/>
        <v>8.0039465431434564</v>
      </c>
      <c r="D86" s="8">
        <f t="shared" ca="1" si="15"/>
        <v>7.882442677176793</v>
      </c>
      <c r="E86" s="4">
        <f t="shared" ca="1" si="18"/>
        <v>-0.70586775839006632</v>
      </c>
      <c r="F86" s="4">
        <f t="shared" ca="1" si="19"/>
        <v>-1.4822763402721473</v>
      </c>
      <c r="G86" s="4">
        <f t="shared" ca="1" si="19"/>
        <v>4.5841559556530065</v>
      </c>
      <c r="H86" s="8">
        <f t="shared" ca="1" si="13"/>
        <v>4.5745325918003017</v>
      </c>
      <c r="I86" s="4">
        <f t="shared" ca="1" si="20"/>
        <v>4.9307966192370287</v>
      </c>
      <c r="J86" s="4">
        <f t="shared" si="21"/>
        <v>-1.3852656826776237</v>
      </c>
      <c r="K86" s="8">
        <f t="shared" ca="1" si="16"/>
        <v>4.8951702164933559</v>
      </c>
      <c r="L86" s="8">
        <f t="shared" ca="1" si="22"/>
        <v>-1.4208920854212965</v>
      </c>
    </row>
    <row r="87" spans="1:12" x14ac:dyDescent="0.4">
      <c r="A87" s="5">
        <v>75</v>
      </c>
      <c r="B87" s="4">
        <f t="shared" si="17"/>
        <v>7.5</v>
      </c>
      <c r="C87" s="4">
        <f t="shared" si="14"/>
        <v>8</v>
      </c>
      <c r="D87" s="8">
        <f t="shared" ca="1" si="15"/>
        <v>8.0974674307506866</v>
      </c>
      <c r="E87" s="4">
        <f t="shared" ca="1" si="18"/>
        <v>-0.42025622897716608</v>
      </c>
      <c r="F87" s="4">
        <f t="shared" ca="1" si="19"/>
        <v>-1.5243019631698638</v>
      </c>
      <c r="G87" s="4">
        <f t="shared" ca="1" si="19"/>
        <v>4.43172575933602</v>
      </c>
      <c r="H87" s="8">
        <f t="shared" ca="1" si="13"/>
        <v>4.4231159415092387</v>
      </c>
      <c r="I87" s="4">
        <f t="shared" ca="1" si="20"/>
        <v>4.788707410694899</v>
      </c>
      <c r="J87" s="4">
        <f t="shared" si="21"/>
        <v>-1.4463444600955158</v>
      </c>
      <c r="K87" s="8">
        <f t="shared" ca="1" si="16"/>
        <v>4.7521482637763333</v>
      </c>
      <c r="L87" s="8">
        <f t="shared" ca="1" si="22"/>
        <v>-1.4829036070140817</v>
      </c>
    </row>
    <row r="88" spans="1:12" x14ac:dyDescent="0.4">
      <c r="A88" s="5">
        <v>76</v>
      </c>
      <c r="B88" s="4">
        <f t="shared" si="17"/>
        <v>7.6000000000000005</v>
      </c>
      <c r="C88" s="4">
        <f t="shared" si="14"/>
        <v>8.0039465431434564</v>
      </c>
      <c r="D88" s="8">
        <f t="shared" ca="1" si="15"/>
        <v>8.0520043596498176</v>
      </c>
      <c r="E88" s="4">
        <f t="shared" ca="1" si="18"/>
        <v>-0.42369367718031858</v>
      </c>
      <c r="F88" s="4">
        <f t="shared" ca="1" si="19"/>
        <v>-1.5666713308878957</v>
      </c>
      <c r="G88" s="4">
        <f t="shared" ca="1" si="19"/>
        <v>4.2750586262472305</v>
      </c>
      <c r="H88" s="8">
        <f t="shared" ca="1" si="13"/>
        <v>4.2685573870938116</v>
      </c>
      <c r="I88" s="4">
        <f t="shared" ca="1" si="20"/>
        <v>4.6404170499934905</v>
      </c>
      <c r="J88" s="4">
        <f t="shared" si="21"/>
        <v>-1.5017100140859643</v>
      </c>
      <c r="K88" s="8">
        <f t="shared" ca="1" si="16"/>
        <v>4.6032310837035224</v>
      </c>
      <c r="L88" s="8">
        <f t="shared" ca="1" si="22"/>
        <v>-1.5388959803759321</v>
      </c>
    </row>
    <row r="89" spans="1:12" x14ac:dyDescent="0.4">
      <c r="A89" s="5">
        <v>77</v>
      </c>
      <c r="B89" s="4">
        <f t="shared" si="17"/>
        <v>7.7</v>
      </c>
      <c r="C89" s="4">
        <f t="shared" si="14"/>
        <v>8.0157705973710449</v>
      </c>
      <c r="D89" s="8">
        <f t="shared" ca="1" si="15"/>
        <v>7.9108743276507267</v>
      </c>
      <c r="E89" s="4">
        <f t="shared" ca="1" si="18"/>
        <v>-0.52245434146137759</v>
      </c>
      <c r="F89" s="4">
        <f t="shared" ca="1" si="19"/>
        <v>-1.6189167650340335</v>
      </c>
      <c r="G89" s="4">
        <f t="shared" ca="1" si="19"/>
        <v>4.1131669497438272</v>
      </c>
      <c r="H89" s="8">
        <f t="shared" ca="1" si="13"/>
        <v>4.1037976222714896</v>
      </c>
      <c r="I89" s="4">
        <f t="shared" ca="1" si="20"/>
        <v>4.4865274519558973</v>
      </c>
      <c r="J89" s="4">
        <f t="shared" si="21"/>
        <v>-1.5511443583630222</v>
      </c>
      <c r="K89" s="8">
        <f t="shared" ca="1" si="16"/>
        <v>4.4482544689874564</v>
      </c>
      <c r="L89" s="8">
        <f t="shared" ca="1" si="22"/>
        <v>-1.589417341331463</v>
      </c>
    </row>
    <row r="90" spans="1:12" x14ac:dyDescent="0.4">
      <c r="A90" s="5">
        <v>78</v>
      </c>
      <c r="B90" s="4">
        <f t="shared" si="17"/>
        <v>7.8000000000000007</v>
      </c>
      <c r="C90" s="4">
        <f t="shared" si="14"/>
        <v>8.0354254985426223</v>
      </c>
      <c r="D90" s="8">
        <f t="shared" ca="1" si="15"/>
        <v>8.0467830213053926</v>
      </c>
      <c r="E90" s="4">
        <f t="shared" ca="1" si="18"/>
        <v>-0.33430021366057394</v>
      </c>
      <c r="F90" s="4">
        <f t="shared" ca="1" si="19"/>
        <v>-1.6523467864000909</v>
      </c>
      <c r="G90" s="4">
        <f t="shared" ca="1" si="19"/>
        <v>3.9479322711038183</v>
      </c>
      <c r="H90" s="8">
        <f t="shared" ca="1" si="13"/>
        <v>3.9515032588916976</v>
      </c>
      <c r="I90" s="4">
        <f t="shared" ca="1" si="20"/>
        <v>4.3275857178227506</v>
      </c>
      <c r="J90" s="4">
        <f t="shared" si="21"/>
        <v>-1.5944528627896157</v>
      </c>
      <c r="K90" s="8">
        <f t="shared" ca="1" si="16"/>
        <v>4.2899774719296451</v>
      </c>
      <c r="L90" s="8">
        <f t="shared" ca="1" si="22"/>
        <v>-1.632061108682721</v>
      </c>
    </row>
    <row r="91" spans="1:12" x14ac:dyDescent="0.4">
      <c r="A91" s="5">
        <v>79</v>
      </c>
      <c r="B91" s="4">
        <f t="shared" si="17"/>
        <v>7.9</v>
      </c>
      <c r="C91" s="4">
        <f t="shared" si="14"/>
        <v>8.0628336777427378</v>
      </c>
      <c r="D91" s="8">
        <f t="shared" ca="1" si="15"/>
        <v>8.0172731162390143</v>
      </c>
      <c r="E91" s="4">
        <f t="shared" ca="1" si="18"/>
        <v>-0.3303800973608948</v>
      </c>
      <c r="F91" s="4">
        <f t="shared" ca="1" si="19"/>
        <v>-1.6853847961361803</v>
      </c>
      <c r="G91" s="4">
        <f t="shared" ca="1" si="19"/>
        <v>3.7793937914902003</v>
      </c>
      <c r="H91" s="8">
        <f t="shared" ca="1" si="13"/>
        <v>3.7887476852776802</v>
      </c>
      <c r="I91" s="4">
        <f t="shared" ca="1" si="20"/>
        <v>4.1643796069544781</v>
      </c>
      <c r="J91" s="4">
        <f t="shared" si="21"/>
        <v>-1.6314650266563921</v>
      </c>
      <c r="K91" s="8">
        <f t="shared" ca="1" si="16"/>
        <v>4.1268164147867985</v>
      </c>
      <c r="L91" s="8">
        <f t="shared" ca="1" si="22"/>
        <v>-1.6690282188240719</v>
      </c>
    </row>
    <row r="92" spans="1:12" x14ac:dyDescent="0.4">
      <c r="A92" s="5">
        <v>80</v>
      </c>
      <c r="B92" s="4">
        <f t="shared" si="17"/>
        <v>8</v>
      </c>
      <c r="C92" s="4">
        <f t="shared" si="14"/>
        <v>8.0978869674096927</v>
      </c>
      <c r="D92" s="8">
        <f t="shared" ca="1" si="15"/>
        <v>8.1739863770143497</v>
      </c>
      <c r="E92" s="4">
        <f t="shared" ca="1" si="18"/>
        <v>-0.14062882684946998</v>
      </c>
      <c r="F92" s="4">
        <f t="shared" ca="1" si="19"/>
        <v>-1.6994476788211272</v>
      </c>
      <c r="G92" s="4">
        <f t="shared" ca="1" si="19"/>
        <v>3.6094490236080876</v>
      </c>
      <c r="H92" s="8">
        <f t="shared" ca="1" si="13"/>
        <v>3.6041367168850371</v>
      </c>
      <c r="I92" s="4">
        <f t="shared" ca="1" si="20"/>
        <v>3.9974767850720707</v>
      </c>
      <c r="J92" s="4">
        <f t="shared" si="21"/>
        <v>-1.6620351562164792</v>
      </c>
      <c r="K92" s="8">
        <f t="shared" ca="1" si="16"/>
        <v>3.9581427782533671</v>
      </c>
      <c r="L92" s="8">
        <f t="shared" ca="1" si="22"/>
        <v>-1.7013691630351826</v>
      </c>
    </row>
    <row r="93" spans="1:12" x14ac:dyDescent="0.4">
      <c r="A93" s="5">
        <v>81</v>
      </c>
      <c r="B93" s="4">
        <f t="shared" si="17"/>
        <v>8.1</v>
      </c>
      <c r="C93" s="4">
        <f t="shared" si="14"/>
        <v>8.1404470282234964</v>
      </c>
      <c r="D93" s="8">
        <f t="shared" ca="1" si="15"/>
        <v>8.124604242404736</v>
      </c>
      <c r="E93" s="4">
        <f t="shared" ca="1" si="18"/>
        <v>-0.17594807877413676</v>
      </c>
      <c r="F93" s="4">
        <f t="shared" ca="1" si="19"/>
        <v>-1.717042486698541</v>
      </c>
      <c r="G93" s="4">
        <f t="shared" ca="1" si="19"/>
        <v>3.4377447749382335</v>
      </c>
      <c r="H93" s="8">
        <f t="shared" ca="1" si="13"/>
        <v>3.4270521944121706</v>
      </c>
      <c r="I93" s="4">
        <f t="shared" ca="1" si="20"/>
        <v>3.8273398687685525</v>
      </c>
      <c r="J93" s="4">
        <f t="shared" si="21"/>
        <v>-1.686042943853862</v>
      </c>
      <c r="K93" s="8">
        <f t="shared" ca="1" si="16"/>
        <v>3.7873111013329144</v>
      </c>
      <c r="L93" s="8">
        <f t="shared" ca="1" si="22"/>
        <v>-1.7260717112895001</v>
      </c>
    </row>
    <row r="94" spans="1:12" x14ac:dyDescent="0.4">
      <c r="A94" s="5">
        <v>82</v>
      </c>
      <c r="B94" s="4">
        <f t="shared" si="17"/>
        <v>8.2000000000000011</v>
      </c>
      <c r="C94" s="4">
        <f t="shared" si="14"/>
        <v>8.1903458950679617</v>
      </c>
      <c r="D94" s="8">
        <f t="shared" ca="1" si="15"/>
        <v>8.0911187457017473</v>
      </c>
      <c r="E94" s="4">
        <f t="shared" ca="1" si="18"/>
        <v>-0.19183876759971175</v>
      </c>
      <c r="F94" s="4">
        <f t="shared" ref="F94:G109" ca="1" si="23">F93+E94*$E$2</f>
        <v>-1.7362263634585122</v>
      </c>
      <c r="G94" s="4">
        <f t="shared" ca="1" si="23"/>
        <v>3.2641221385923824</v>
      </c>
      <c r="H94" s="8">
        <f t="shared" ca="1" si="13"/>
        <v>3.2617997086510657</v>
      </c>
      <c r="I94" s="4">
        <f t="shared" ca="1" si="20"/>
        <v>3.6547326976396026</v>
      </c>
      <c r="J94" s="4">
        <f t="shared" si="21"/>
        <v>-1.7033939466461261</v>
      </c>
      <c r="K94" s="8">
        <f t="shared" ca="1" si="16"/>
        <v>3.6154393987407492</v>
      </c>
      <c r="L94" s="8">
        <f t="shared" ca="1" si="22"/>
        <v>-1.7426872455449798</v>
      </c>
    </row>
    <row r="95" spans="1:12" x14ac:dyDescent="0.4">
      <c r="A95" s="5">
        <v>83</v>
      </c>
      <c r="B95" s="4">
        <f t="shared" si="17"/>
        <v>8.3000000000000007</v>
      </c>
      <c r="C95" s="4">
        <f t="shared" si="14"/>
        <v>8.2473866399122731</v>
      </c>
      <c r="D95" s="8">
        <f t="shared" ca="1" si="15"/>
        <v>8.099917231860525</v>
      </c>
      <c r="E95" s="4">
        <f t="shared" ca="1" si="18"/>
        <v>-0.16385640468096274</v>
      </c>
      <c r="F95" s="4">
        <f t="shared" ca="1" si="23"/>
        <v>-1.7526120039266084</v>
      </c>
      <c r="G95" s="4">
        <f t="shared" ca="1" si="23"/>
        <v>3.0888609381997214</v>
      </c>
      <c r="H95" s="8">
        <f t="shared" ca="1" si="13"/>
        <v>3.0887438167851067</v>
      </c>
      <c r="I95" s="4">
        <f t="shared" ca="1" si="20"/>
        <v>3.4804639730851048</v>
      </c>
      <c r="J95" s="4">
        <f t="shared" si="21"/>
        <v>-1.7140199624747174</v>
      </c>
      <c r="K95" s="8">
        <f t="shared" ca="1" si="16"/>
        <v>3.4412919574551051</v>
      </c>
      <c r="L95" s="8">
        <f t="shared" ca="1" si="22"/>
        <v>-1.7531919781047172</v>
      </c>
    </row>
    <row r="96" spans="1:12" x14ac:dyDescent="0.4">
      <c r="A96" s="5">
        <v>84</v>
      </c>
      <c r="B96" s="4">
        <f t="shared" si="17"/>
        <v>8.4</v>
      </c>
      <c r="C96" s="4">
        <f t="shared" si="14"/>
        <v>8.3113441489959694</v>
      </c>
      <c r="D96" s="8">
        <f t="shared" ca="1" si="15"/>
        <v>8.1935981192487599</v>
      </c>
      <c r="E96" s="4">
        <f t="shared" ca="1" si="18"/>
        <v>-5.3789876824631655E-2</v>
      </c>
      <c r="F96" s="4">
        <f t="shared" ca="1" si="23"/>
        <v>-1.7579909916090717</v>
      </c>
      <c r="G96" s="4">
        <f t="shared" ca="1" si="23"/>
        <v>2.9130618390388143</v>
      </c>
      <c r="H96" s="8">
        <f t="shared" ca="1" si="13"/>
        <v>2.9107906088482718</v>
      </c>
      <c r="I96" s="4">
        <f t="shared" ca="1" si="20"/>
        <v>3.3051447752746332</v>
      </c>
      <c r="J96" s="4">
        <f t="shared" si="21"/>
        <v>-1.7178793022360184</v>
      </c>
      <c r="K96" s="8">
        <f t="shared" ca="1" si="16"/>
        <v>3.2657093586319972</v>
      </c>
      <c r="L96" s="8">
        <f t="shared" ca="1" si="22"/>
        <v>-1.7573147188786544</v>
      </c>
    </row>
    <row r="97" spans="1:12" x14ac:dyDescent="0.4">
      <c r="A97" s="5">
        <v>85</v>
      </c>
      <c r="B97" s="4">
        <f t="shared" si="17"/>
        <v>8.5</v>
      </c>
      <c r="C97" s="4">
        <f t="shared" si="14"/>
        <v>8.3819660112501051</v>
      </c>
      <c r="D97" s="8">
        <f t="shared" ca="1" si="15"/>
        <v>8.3632013500767854</v>
      </c>
      <c r="E97" s="4">
        <f t="shared" ca="1" si="18"/>
        <v>0.12119234168585713</v>
      </c>
      <c r="F97" s="4">
        <f t="shared" ca="1" si="23"/>
        <v>-1.7458717574404861</v>
      </c>
      <c r="G97" s="4">
        <f t="shared" ca="1" si="23"/>
        <v>2.7384746632947659</v>
      </c>
      <c r="H97" s="8">
        <f t="shared" ca="1" si="13"/>
        <v>2.7525211154261244</v>
      </c>
      <c r="I97" s="4">
        <f t="shared" ca="1" si="20"/>
        <v>3.1294133033867677</v>
      </c>
      <c r="J97" s="4">
        <f t="shared" si="21"/>
        <v>-1.7149569571128196</v>
      </c>
      <c r="K97" s="8">
        <f t="shared" ca="1" si="16"/>
        <v>3.0917240845907035</v>
      </c>
      <c r="L97" s="8">
        <f t="shared" ca="1" si="22"/>
        <v>-1.7526461759088838</v>
      </c>
    </row>
    <row r="98" spans="1:12" x14ac:dyDescent="0.4">
      <c r="A98" s="5">
        <v>86</v>
      </c>
      <c r="B98" s="4">
        <f t="shared" si="17"/>
        <v>8.6</v>
      </c>
      <c r="C98" s="4">
        <f t="shared" si="14"/>
        <v>8.4589735144484202</v>
      </c>
      <c r="D98" s="8">
        <f t="shared" ca="1" si="15"/>
        <v>8.4493093265685051</v>
      </c>
      <c r="E98" s="4">
        <f t="shared" ca="1" si="18"/>
        <v>0.19518108400899115</v>
      </c>
      <c r="F98" s="4">
        <f t="shared" ca="1" si="23"/>
        <v>-1.726353649039587</v>
      </c>
      <c r="G98" s="4">
        <f t="shared" ca="1" si="23"/>
        <v>2.5658392983908072</v>
      </c>
      <c r="H98" s="8">
        <f t="shared" ca="1" si="13"/>
        <v>2.5476957383809835</v>
      </c>
      <c r="I98" s="4">
        <f t="shared" ca="1" si="20"/>
        <v>2.9541486857958792</v>
      </c>
      <c r="J98" s="4">
        <f t="shared" si="21"/>
        <v>-1.7052646602765273</v>
      </c>
      <c r="K98" s="8">
        <f t="shared" ca="1" si="16"/>
        <v>2.9135033910543897</v>
      </c>
      <c r="L98" s="8">
        <f t="shared" ca="1" si="22"/>
        <v>-1.7459099550180168</v>
      </c>
    </row>
    <row r="99" spans="1:12" x14ac:dyDescent="0.4">
      <c r="A99" s="5">
        <v>87</v>
      </c>
      <c r="B99" s="4">
        <f t="shared" si="17"/>
        <v>8.7000000000000011</v>
      </c>
      <c r="C99" s="4">
        <f t="shared" si="14"/>
        <v>8.5420627451571765</v>
      </c>
      <c r="D99" s="8">
        <f t="shared" ca="1" si="15"/>
        <v>8.7750950791677624</v>
      </c>
      <c r="E99" s="4">
        <f t="shared" ca="1" si="18"/>
        <v>0.50144872820734943</v>
      </c>
      <c r="F99" s="4">
        <f t="shared" ca="1" si="23"/>
        <v>-1.676208776218852</v>
      </c>
      <c r="G99" s="4">
        <f t="shared" ca="1" si="23"/>
        <v>2.3982184207689219</v>
      </c>
      <c r="H99" s="8">
        <f t="shared" ca="1" si="13"/>
        <v>2.4018041313232192</v>
      </c>
      <c r="I99" s="4">
        <f t="shared" ca="1" si="20"/>
        <v>2.7795576902940775</v>
      </c>
      <c r="J99" s="4">
        <f t="shared" si="21"/>
        <v>-1.6888408428040327</v>
      </c>
      <c r="K99" s="8">
        <f t="shared" ca="1" si="16"/>
        <v>2.7417823343969916</v>
      </c>
      <c r="L99" s="8">
        <f t="shared" ca="1" si="22"/>
        <v>-1.7266161987011186</v>
      </c>
    </row>
    <row r="100" spans="1:12" x14ac:dyDescent="0.4">
      <c r="A100" s="5">
        <v>88</v>
      </c>
      <c r="B100" s="4">
        <f t="shared" si="17"/>
        <v>8.8000000000000007</v>
      </c>
      <c r="C100" s="4">
        <f t="shared" si="14"/>
        <v>8.6309057881426234</v>
      </c>
      <c r="D100" s="8">
        <f t="shared" ca="1" si="15"/>
        <v>8.6847666174455469</v>
      </c>
      <c r="E100" s="4">
        <f t="shared" ca="1" si="18"/>
        <v>0.3609753936643989</v>
      </c>
      <c r="F100" s="4">
        <f t="shared" ca="1" si="23"/>
        <v>-1.640111236852412</v>
      </c>
      <c r="G100" s="4">
        <f t="shared" ca="1" si="23"/>
        <v>2.2342072970836808</v>
      </c>
      <c r="H100" s="8">
        <f t="shared" ca="1" si="13"/>
        <v>2.2312798149337922</v>
      </c>
      <c r="I100" s="4">
        <f t="shared" ca="1" si="20"/>
        <v>2.6068960704239657</v>
      </c>
      <c r="J100" s="4">
        <f t="shared" si="21"/>
        <v>-1.6657504840079118</v>
      </c>
      <c r="K100" s="8">
        <f t="shared" ca="1" si="16"/>
        <v>2.5693344448749484</v>
      </c>
      <c r="L100" s="8">
        <f t="shared" ca="1" si="22"/>
        <v>-1.7033121095569292</v>
      </c>
    </row>
    <row r="101" spans="1:12" x14ac:dyDescent="0.4">
      <c r="A101" s="5">
        <v>89</v>
      </c>
      <c r="B101" s="4">
        <f t="shared" si="17"/>
        <v>8.9</v>
      </c>
      <c r="C101" s="4">
        <f t="shared" si="14"/>
        <v>8.7251520205026214</v>
      </c>
      <c r="D101" s="8">
        <f t="shared" ca="1" si="15"/>
        <v>8.6963322848367142</v>
      </c>
      <c r="E101" s="4">
        <f t="shared" ca="1" si="18"/>
        <v>0.33644352168912617</v>
      </c>
      <c r="F101" s="4">
        <f t="shared" ca="1" si="23"/>
        <v>-1.6064668846834993</v>
      </c>
      <c r="G101" s="4">
        <f t="shared" ca="1" si="23"/>
        <v>2.0735606086153311</v>
      </c>
      <c r="H101" s="8">
        <f t="shared" ca="1" si="13"/>
        <v>2.0967372607554453</v>
      </c>
      <c r="I101" s="4">
        <f t="shared" ca="1" si="20"/>
        <v>2.4365648594682727</v>
      </c>
      <c r="J101" s="4">
        <f t="shared" si="21"/>
        <v>-1.6360848567928583</v>
      </c>
      <c r="K101" s="8">
        <f t="shared" ca="1" si="16"/>
        <v>2.40258209959699</v>
      </c>
      <c r="L101" s="8">
        <f t="shared" ca="1" si="22"/>
        <v>-1.6700676166641411</v>
      </c>
    </row>
    <row r="102" spans="1:12" x14ac:dyDescent="0.4">
      <c r="A102" s="5">
        <v>90</v>
      </c>
      <c r="B102" s="4">
        <f t="shared" si="17"/>
        <v>9</v>
      </c>
      <c r="C102" s="4">
        <f t="shared" si="14"/>
        <v>8.8244294954150533</v>
      </c>
      <c r="D102" s="8">
        <f t="shared" ca="1" si="15"/>
        <v>8.6729858211294246</v>
      </c>
      <c r="E102" s="4">
        <f t="shared" ca="1" si="18"/>
        <v>0.27945270581292392</v>
      </c>
      <c r="F102" s="4">
        <f t="shared" ca="1" si="23"/>
        <v>-1.5785216141022069</v>
      </c>
      <c r="G102" s="4">
        <f t="shared" ca="1" si="23"/>
        <v>1.9157084472051105</v>
      </c>
      <c r="H102" s="8">
        <f t="shared" ca="1" si="13"/>
        <v>1.8976742962735416</v>
      </c>
      <c r="I102" s="4">
        <f t="shared" ca="1" si="20"/>
        <v>2.2695580978018586</v>
      </c>
      <c r="J102" s="4">
        <f t="shared" si="21"/>
        <v>-1.5999611690633102</v>
      </c>
      <c r="K102" s="8">
        <f t="shared" ca="1" si="16"/>
        <v>2.2323697176490267</v>
      </c>
      <c r="L102" s="8">
        <f t="shared" ca="1" si="22"/>
        <v>-1.6371495492161419</v>
      </c>
    </row>
    <row r="103" spans="1:12" x14ac:dyDescent="0.4">
      <c r="A103" s="5">
        <v>91</v>
      </c>
      <c r="B103" s="4">
        <f t="shared" si="17"/>
        <v>9.1</v>
      </c>
      <c r="C103" s="4">
        <f t="shared" si="14"/>
        <v>8.9283464100420051</v>
      </c>
      <c r="D103" s="8">
        <f t="shared" ca="1" si="15"/>
        <v>9.080169309356652</v>
      </c>
      <c r="E103" s="4">
        <f t="shared" ca="1" si="18"/>
        <v>0.65869092345885893</v>
      </c>
      <c r="F103" s="4">
        <f t="shared" ca="1" si="23"/>
        <v>-1.5126525217563209</v>
      </c>
      <c r="G103" s="4">
        <f t="shared" ca="1" si="23"/>
        <v>1.7644431950294783</v>
      </c>
      <c r="H103" s="8">
        <f t="shared" ca="1" si="13"/>
        <v>1.7662852500024995</v>
      </c>
      <c r="I103" s="4">
        <f t="shared" ca="1" si="20"/>
        <v>2.1058431428802442</v>
      </c>
      <c r="J103" s="4">
        <f t="shared" si="21"/>
        <v>-1.5575221026154737</v>
      </c>
      <c r="K103" s="8">
        <f t="shared" ca="1" si="16"/>
        <v>2.0718873535924698</v>
      </c>
      <c r="L103" s="8">
        <f t="shared" ca="1" si="22"/>
        <v>-1.5914778919032482</v>
      </c>
    </row>
    <row r="104" spans="1:12" x14ac:dyDescent="0.4">
      <c r="A104" s="5">
        <v>92</v>
      </c>
      <c r="B104" s="4">
        <f t="shared" si="17"/>
        <v>9.2000000000000011</v>
      </c>
      <c r="C104" s="4">
        <f t="shared" si="14"/>
        <v>9.0364926517965714</v>
      </c>
      <c r="D104" s="8">
        <f t="shared" ca="1" si="15"/>
        <v>8.9819881774927968</v>
      </c>
      <c r="E104" s="4">
        <f t="shared" ca="1" si="18"/>
        <v>0.49464069924911769</v>
      </c>
      <c r="F104" s="4">
        <f t="shared" ca="1" si="23"/>
        <v>-1.4631884518314091</v>
      </c>
      <c r="G104" s="4">
        <f t="shared" ca="1" si="23"/>
        <v>1.6181243498463374</v>
      </c>
      <c r="H104" s="8">
        <f t="shared" ca="1" si="13"/>
        <v>1.6216260055900706</v>
      </c>
      <c r="I104" s="4">
        <f t="shared" ca="1" si="20"/>
        <v>1.9466953536899194</v>
      </c>
      <c r="J104" s="4">
        <f t="shared" si="21"/>
        <v>-1.5089352513497258</v>
      </c>
      <c r="K104" s="8">
        <f t="shared" ca="1" si="16"/>
        <v>1.9141884188799345</v>
      </c>
      <c r="L104" s="8">
        <f t="shared" ca="1" si="22"/>
        <v>-1.5414421861597107</v>
      </c>
    </row>
    <row r="105" spans="1:12" x14ac:dyDescent="0.4">
      <c r="A105" s="5">
        <v>93</v>
      </c>
      <c r="B105" s="4">
        <f t="shared" si="17"/>
        <v>9.3000000000000007</v>
      </c>
      <c r="C105" s="4">
        <f t="shared" si="14"/>
        <v>9.148441416869856</v>
      </c>
      <c r="D105" s="8">
        <f t="shared" ca="1" si="15"/>
        <v>9.1719085448249746</v>
      </c>
      <c r="E105" s="4">
        <f t="shared" ca="1" si="18"/>
        <v>0.63509699665638375</v>
      </c>
      <c r="F105" s="4">
        <f t="shared" ca="1" si="23"/>
        <v>-1.3996787521657708</v>
      </c>
      <c r="G105" s="4">
        <f t="shared" ca="1" si="23"/>
        <v>1.4781564746297602</v>
      </c>
      <c r="H105" s="8">
        <f t="shared" ca="1" si="13"/>
        <v>1.4891107708788529</v>
      </c>
      <c r="I105" s="4">
        <f t="shared" ca="1" si="20"/>
        <v>1.7925511350739483</v>
      </c>
      <c r="J105" s="4">
        <f t="shared" si="21"/>
        <v>-1.4543924610350962</v>
      </c>
      <c r="K105" s="8">
        <f t="shared" ca="1" si="16"/>
        <v>1.7622070986544387</v>
      </c>
      <c r="L105" s="8">
        <f t="shared" ca="1" si="22"/>
        <v>-1.4847364974546058</v>
      </c>
    </row>
    <row r="106" spans="1:12" x14ac:dyDescent="0.4">
      <c r="A106" s="5">
        <v>94</v>
      </c>
      <c r="B106" s="4">
        <f t="shared" si="17"/>
        <v>9.4</v>
      </c>
      <c r="C106" s="4">
        <f t="shared" si="14"/>
        <v>9.263750894630645</v>
      </c>
      <c r="D106" s="8">
        <f t="shared" ca="1" si="15"/>
        <v>9.3423549070616616</v>
      </c>
      <c r="E106" s="4">
        <f t="shared" ca="1" si="18"/>
        <v>0.74203365922743236</v>
      </c>
      <c r="F106" s="4">
        <f t="shared" ca="1" si="23"/>
        <v>-1.3254753862430275</v>
      </c>
      <c r="G106" s="4">
        <f t="shared" ca="1" si="23"/>
        <v>1.3456089360054575</v>
      </c>
      <c r="H106" s="8">
        <f t="shared" ca="1" si="13"/>
        <v>1.3440439915095039</v>
      </c>
      <c r="I106" s="4">
        <f t="shared" ca="1" si="20"/>
        <v>1.6440774853284876</v>
      </c>
      <c r="J106" s="4">
        <f t="shared" si="21"/>
        <v>-1.3941090732446009</v>
      </c>
      <c r="K106" s="8">
        <f t="shared" ca="1" si="16"/>
        <v>1.6140741359465893</v>
      </c>
      <c r="L106" s="8">
        <f t="shared" ca="1" si="22"/>
        <v>-1.4241124226264992</v>
      </c>
    </row>
    <row r="107" spans="1:12" x14ac:dyDescent="0.4">
      <c r="A107" s="5">
        <v>95</v>
      </c>
      <c r="B107" s="4">
        <f t="shared" si="17"/>
        <v>9.5</v>
      </c>
      <c r="C107" s="4">
        <f t="shared" si="14"/>
        <v>9.3819660112501051</v>
      </c>
      <c r="D107" s="8">
        <f t="shared" ca="1" si="15"/>
        <v>9.4021390922263759</v>
      </c>
      <c r="E107" s="4">
        <f t="shared" ca="1" si="18"/>
        <v>0.72761447846940341</v>
      </c>
      <c r="F107" s="4">
        <f t="shared" ca="1" si="23"/>
        <v>-1.2527139383960872</v>
      </c>
      <c r="G107" s="4">
        <f t="shared" ca="1" si="23"/>
        <v>1.2203375421658489</v>
      </c>
      <c r="H107" s="8">
        <f t="shared" ca="1" si="13"/>
        <v>1.2308643105192763</v>
      </c>
      <c r="I107" s="4">
        <f t="shared" ca="1" si="20"/>
        <v>1.5016662430658376</v>
      </c>
      <c r="J107" s="4">
        <f t="shared" si="21"/>
        <v>-1.3283230764570764</v>
      </c>
      <c r="K107" s="8">
        <f t="shared" ca="1" si="16"/>
        <v>1.4745860498111816</v>
      </c>
      <c r="L107" s="8">
        <f t="shared" ca="1" si="22"/>
        <v>-1.3554032697117324</v>
      </c>
    </row>
    <row r="108" spans="1:12" x14ac:dyDescent="0.4">
      <c r="A108" s="5">
        <v>96</v>
      </c>
      <c r="B108" s="4">
        <f t="shared" si="17"/>
        <v>9.6000000000000014</v>
      </c>
      <c r="C108" s="4">
        <f t="shared" si="14"/>
        <v>9.5026202256702916</v>
      </c>
      <c r="D108" s="8">
        <f t="shared" ca="1" si="15"/>
        <v>9.5416837635248193</v>
      </c>
      <c r="E108" s="4">
        <f t="shared" ca="1" si="18"/>
        <v>0.79439770192090653</v>
      </c>
      <c r="F108" s="4">
        <f t="shared" ca="1" si="23"/>
        <v>-1.1732741682039967</v>
      </c>
      <c r="G108" s="4">
        <f t="shared" ca="1" si="23"/>
        <v>1.1030101253454492</v>
      </c>
      <c r="H108" s="8">
        <f t="shared" ca="1" si="13"/>
        <v>1.0820074195200284</v>
      </c>
      <c r="I108" s="4">
        <f t="shared" ca="1" si="20"/>
        <v>1.3661259160946644</v>
      </c>
      <c r="J108" s="4">
        <f t="shared" si="21"/>
        <v>-1.2572941676863583</v>
      </c>
      <c r="K108" s="8">
        <f t="shared" ca="1" si="16"/>
        <v>1.3377140664372007</v>
      </c>
      <c r="L108" s="8">
        <f t="shared" ca="1" si="22"/>
        <v>-1.2857060173438219</v>
      </c>
    </row>
    <row r="109" spans="1:12" x14ac:dyDescent="0.4">
      <c r="A109" s="5">
        <v>97</v>
      </c>
      <c r="B109" s="4">
        <f t="shared" si="17"/>
        <v>9.7000000000000011</v>
      </c>
      <c r="C109" s="4">
        <f t="shared" si="14"/>
        <v>9.6252373708285504</v>
      </c>
      <c r="D109" s="8">
        <f t="shared" ca="1" si="15"/>
        <v>9.5958847424808233</v>
      </c>
      <c r="E109" s="4">
        <f t="shared" ca="1" si="18"/>
        <v>0.76915891068482001</v>
      </c>
      <c r="F109" s="4">
        <f t="shared" ca="1" si="23"/>
        <v>-1.0963582771355147</v>
      </c>
      <c r="G109" s="4">
        <f t="shared" ca="1" si="23"/>
        <v>0.99337429763189766</v>
      </c>
      <c r="H109" s="8">
        <f t="shared" ca="1" si="13"/>
        <v>0.99463161584011073</v>
      </c>
      <c r="I109" s="4">
        <f t="shared" ca="1" si="20"/>
        <v>1.2375553143602822</v>
      </c>
      <c r="J109" s="4">
        <f t="shared" si="21"/>
        <v>-1.1813027283506934</v>
      </c>
      <c r="K109" s="8">
        <f t="shared" ca="1" si="16"/>
        <v>1.213262944508265</v>
      </c>
      <c r="L109" s="8">
        <f t="shared" ca="1" si="22"/>
        <v>-1.2055950982027106</v>
      </c>
    </row>
    <row r="110" spans="1:12" x14ac:dyDescent="0.4">
      <c r="A110" s="5">
        <v>98</v>
      </c>
      <c r="B110" s="4">
        <f t="shared" si="17"/>
        <v>9.8000000000000007</v>
      </c>
      <c r="C110" s="4">
        <f t="shared" si="14"/>
        <v>9.7493335328713933</v>
      </c>
      <c r="D110" s="8">
        <f t="shared" ca="1" si="15"/>
        <v>9.6207836425328512</v>
      </c>
      <c r="E110" s="4">
        <f t="shared" ca="1" si="18"/>
        <v>0.71714191966836593</v>
      </c>
      <c r="F110" s="4">
        <f t="shared" ref="F110:G112" ca="1" si="24">F109+E110*$E$2</f>
        <v>-1.0246440851686782</v>
      </c>
      <c r="G110" s="4">
        <f t="shared" ca="1" si="24"/>
        <v>0.89090988911502977</v>
      </c>
      <c r="H110" s="8">
        <f t="shared" ca="1" si="13"/>
        <v>0.89421883724077089</v>
      </c>
      <c r="I110" s="4">
        <f t="shared" ca="1" si="20"/>
        <v>1.1169958045400112</v>
      </c>
      <c r="J110" s="4">
        <f t="shared" si="21"/>
        <v>-1.1006487184327691</v>
      </c>
      <c r="K110" s="8">
        <f t="shared" ca="1" si="16"/>
        <v>1.0947181078100872</v>
      </c>
      <c r="L110" s="8">
        <f t="shared" ca="1" si="22"/>
        <v>-1.1229264151626932</v>
      </c>
    </row>
    <row r="111" spans="1:12" x14ac:dyDescent="0.4">
      <c r="A111" s="5">
        <v>99</v>
      </c>
      <c r="B111" s="4">
        <f t="shared" si="17"/>
        <v>9.9</v>
      </c>
      <c r="C111" s="4">
        <f t="shared" si="14"/>
        <v>9.8744189609413731</v>
      </c>
      <c r="D111" s="8">
        <f t="shared" ca="1" si="15"/>
        <v>9.7613404815510112</v>
      </c>
      <c r="E111" s="4">
        <f t="shared" ca="1" si="18"/>
        <v>0.78598456671968941</v>
      </c>
      <c r="F111" s="4">
        <f t="shared" ca="1" si="24"/>
        <v>-0.94604562849670926</v>
      </c>
      <c r="G111" s="4">
        <f t="shared" ca="1" si="24"/>
        <v>0.79630532626535888</v>
      </c>
      <c r="H111" s="8">
        <f t="shared" ca="1" si="13"/>
        <v>0.78285836766444183</v>
      </c>
      <c r="I111" s="4">
        <f t="shared" ca="1" si="20"/>
        <v>1.004703163023742</v>
      </c>
      <c r="J111" s="4">
        <f t="shared" si="21"/>
        <v>-1.0156504933023529</v>
      </c>
      <c r="K111" s="8">
        <f t="shared" ca="1" si="16"/>
        <v>0.98251868348781191</v>
      </c>
      <c r="L111" s="8">
        <f t="shared" ca="1" si="22"/>
        <v>-1.037834972838283</v>
      </c>
    </row>
    <row r="112" spans="1:12" x14ac:dyDescent="0.4">
      <c r="A112" s="5">
        <v>100</v>
      </c>
      <c r="B112" s="4">
        <f t="shared" si="17"/>
        <v>10</v>
      </c>
      <c r="C112" s="4">
        <f t="shared" si="14"/>
        <v>10</v>
      </c>
      <c r="D112" s="8">
        <f t="shared" ca="1" si="15"/>
        <v>10.043801823079727</v>
      </c>
      <c r="E112" s="4">
        <f t="shared" ca="1" si="18"/>
        <v>0.9898474515764365</v>
      </c>
      <c r="F112" s="4">
        <f t="shared" ca="1" si="24"/>
        <v>-0.8470608833390656</v>
      </c>
      <c r="G112" s="4">
        <f t="shared" ca="1" si="24"/>
        <v>0.7115992379314523</v>
      </c>
      <c r="H112" s="8">
        <f t="shared" ca="1" si="13"/>
        <v>0.72366761578980154</v>
      </c>
      <c r="I112" s="4">
        <f t="shared" ca="1" si="20"/>
        <v>0.90091966573991367</v>
      </c>
      <c r="J112" s="4">
        <f t="shared" si="21"/>
        <v>-0.92664354787798031</v>
      </c>
      <c r="K112" s="8">
        <f t="shared" ca="1" si="16"/>
        <v>0.88319446074490249</v>
      </c>
      <c r="L112" s="8">
        <f t="shared" ca="1" si="22"/>
        <v>-0.94436875287299149</v>
      </c>
    </row>
    <row r="113" spans="8:8" x14ac:dyDescent="0.4">
      <c r="H113" s="8"/>
    </row>
  </sheetData>
  <mergeCells count="4">
    <mergeCell ref="A1:A2"/>
    <mergeCell ref="A3:A4"/>
    <mergeCell ref="A5:A6"/>
    <mergeCell ref="A7:A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5140-D283-4018-995A-0FD5745F8B99}">
  <dimension ref="A1:S113"/>
  <sheetViews>
    <sheetView topLeftCell="J53" zoomScale="70" zoomScaleNormal="70" workbookViewId="0">
      <selection activeCell="C11" sqref="C11"/>
    </sheetView>
  </sheetViews>
  <sheetFormatPr defaultColWidth="9.25" defaultRowHeight="20" x14ac:dyDescent="0.4"/>
  <cols>
    <col min="1" max="1" width="9.5625" style="4" bestFit="1" customWidth="1"/>
    <col min="2" max="2" width="21.3125" style="4" bestFit="1" customWidth="1"/>
    <col min="3" max="3" width="25.5625" style="4" bestFit="1" customWidth="1"/>
    <col min="4" max="4" width="24.3125" style="4" bestFit="1" customWidth="1"/>
    <col min="5" max="5" width="23.8125" style="4" bestFit="1" customWidth="1"/>
    <col min="6" max="6" width="20.0625" style="4" bestFit="1" customWidth="1"/>
    <col min="7" max="7" width="18.3125" style="4" bestFit="1" customWidth="1"/>
    <col min="8" max="8" width="25.25" style="4" bestFit="1" customWidth="1"/>
    <col min="9" max="9" width="19.0625" style="4" bestFit="1" customWidth="1"/>
    <col min="10" max="10" width="20.75" style="4" bestFit="1" customWidth="1"/>
    <col min="11" max="11" width="19.8125" style="4" bestFit="1" customWidth="1"/>
    <col min="12" max="12" width="21.5625" style="4" bestFit="1" customWidth="1"/>
    <col min="13" max="16384" width="9.25" style="4"/>
  </cols>
  <sheetData>
    <row r="1" spans="1:19" s="2" customFormat="1" x14ac:dyDescent="0.4">
      <c r="A1" s="13" t="s">
        <v>0</v>
      </c>
      <c r="B1" s="1" t="s">
        <v>7</v>
      </c>
      <c r="C1" s="1" t="s">
        <v>5</v>
      </c>
      <c r="D1" s="1" t="s">
        <v>4</v>
      </c>
      <c r="E1" s="1" t="s">
        <v>3</v>
      </c>
      <c r="F1" s="12"/>
      <c r="G1" s="12"/>
    </row>
    <row r="2" spans="1:19" s="2" customFormat="1" x14ac:dyDescent="0.4">
      <c r="A2" s="13"/>
      <c r="B2" s="2">
        <v>1</v>
      </c>
      <c r="C2" s="2">
        <v>-10</v>
      </c>
      <c r="D2" s="2">
        <v>-1</v>
      </c>
      <c r="E2" s="2">
        <v>0.1</v>
      </c>
    </row>
    <row r="3" spans="1:19" s="2" customFormat="1" x14ac:dyDescent="0.4">
      <c r="A3" s="14" t="s">
        <v>2</v>
      </c>
      <c r="B3" s="3" t="s">
        <v>6</v>
      </c>
      <c r="C3" s="3" t="s">
        <v>8</v>
      </c>
    </row>
    <row r="4" spans="1:19" s="2" customFormat="1" x14ac:dyDescent="0.4">
      <c r="A4" s="14"/>
      <c r="B4" s="2">
        <v>0</v>
      </c>
      <c r="C4" s="2">
        <v>0</v>
      </c>
    </row>
    <row r="5" spans="1:19" s="2" customFormat="1" x14ac:dyDescent="0.4">
      <c r="A5" s="15" t="s">
        <v>10</v>
      </c>
      <c r="B5" s="10" t="s">
        <v>12</v>
      </c>
      <c r="C5" s="10" t="s">
        <v>11</v>
      </c>
      <c r="D5" s="7"/>
    </row>
    <row r="6" spans="1:19" s="2" customFormat="1" x14ac:dyDescent="0.4">
      <c r="A6" s="16"/>
      <c r="B6" s="2">
        <v>0.1</v>
      </c>
      <c r="C6" s="2">
        <v>0.01</v>
      </c>
    </row>
    <row r="7" spans="1:19" s="2" customFormat="1" x14ac:dyDescent="0.4">
      <c r="A7" s="17" t="s">
        <v>0</v>
      </c>
      <c r="B7" s="11" t="s">
        <v>23</v>
      </c>
      <c r="C7" s="11" t="s">
        <v>24</v>
      </c>
    </row>
    <row r="8" spans="1:19" s="2" customFormat="1" x14ac:dyDescent="0.4">
      <c r="A8" s="18"/>
      <c r="B8" s="2">
        <v>0.1</v>
      </c>
      <c r="C8" s="2">
        <v>0.01</v>
      </c>
    </row>
    <row r="9" spans="1:19" x14ac:dyDescent="0.4">
      <c r="O9" s="2"/>
      <c r="P9" s="2"/>
      <c r="Q9" s="2"/>
      <c r="R9" s="2"/>
      <c r="S9" s="2"/>
    </row>
    <row r="10" spans="1:19" x14ac:dyDescent="0.4">
      <c r="O10" s="2"/>
      <c r="P10" s="2"/>
      <c r="Q10" s="2"/>
      <c r="R10" s="2"/>
      <c r="S10" s="2"/>
    </row>
    <row r="11" spans="1:19" x14ac:dyDescent="0.4">
      <c r="A11" s="9" t="s">
        <v>1</v>
      </c>
      <c r="B11" s="9" t="s">
        <v>9</v>
      </c>
      <c r="C11" s="9" t="s">
        <v>13</v>
      </c>
      <c r="D11" s="9" t="s">
        <v>18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22</v>
      </c>
      <c r="J11" s="9" t="s">
        <v>21</v>
      </c>
      <c r="K11" s="9" t="s">
        <v>19</v>
      </c>
      <c r="L11" s="9" t="s">
        <v>20</v>
      </c>
      <c r="O11" s="2"/>
      <c r="P11" s="2"/>
      <c r="Q11" s="2"/>
      <c r="R11" s="2"/>
      <c r="S11" s="2"/>
    </row>
    <row r="12" spans="1:19" x14ac:dyDescent="0.4">
      <c r="A12" s="5">
        <v>0</v>
      </c>
      <c r="B12" s="4">
        <v>0</v>
      </c>
      <c r="C12" s="4">
        <v>10</v>
      </c>
      <c r="D12" s="8">
        <f t="shared" ref="D12:D76" ca="1" si="0">C12+IF($B$6&lt;=0,0,_xlfn.NORM.INV(RAND(),0,$B$6))</f>
        <v>9.8260121447534097</v>
      </c>
      <c r="E12" s="6">
        <f ca="1">(D12+$C$2+$D$2*$B$4)/$B$2</f>
        <v>-0.17398785524659033</v>
      </c>
      <c r="F12" s="6">
        <f>$B$4</f>
        <v>0</v>
      </c>
      <c r="G12" s="6">
        <f>$C$4</f>
        <v>0</v>
      </c>
      <c r="H12" s="6">
        <f t="shared" ref="H12:H75" ca="1" si="1">G12+IF($C$6&lt;=0,0,_xlfn.NORM.INV(RAND(),0,$C$6))</f>
        <v>9.5562778200098709E-3</v>
      </c>
      <c r="I12" s="6">
        <f ca="1">$H$12</f>
        <v>9.5562778200098709E-3</v>
      </c>
      <c r="J12" s="6">
        <v>0</v>
      </c>
      <c r="K12" s="8">
        <f ca="1">I12+$B$8*(H12-I12)</f>
        <v>9.5562778200098709E-3</v>
      </c>
      <c r="L12" s="8">
        <f ca="1">J12+$C$8*(H12-I12)/$E$2</f>
        <v>0</v>
      </c>
      <c r="O12" s="2"/>
      <c r="P12" s="2"/>
      <c r="Q12" s="2"/>
      <c r="R12" s="2"/>
      <c r="S12" s="2"/>
    </row>
    <row r="13" spans="1:19" x14ac:dyDescent="0.4">
      <c r="A13" s="5">
        <v>1</v>
      </c>
      <c r="B13" s="4">
        <f>A13*$E$2</f>
        <v>0.1</v>
      </c>
      <c r="C13" s="4">
        <v>10</v>
      </c>
      <c r="D13" s="8">
        <f t="shared" ca="1" si="0"/>
        <v>10.049265260642745</v>
      </c>
      <c r="E13" s="4">
        <f ca="1">(D13+$C$2+$D$2*F12)/$B$2</f>
        <v>4.9265260642744835E-2</v>
      </c>
      <c r="F13" s="4">
        <f ca="1">F12+E13*$E$2</f>
        <v>4.9265260642744838E-3</v>
      </c>
      <c r="G13" s="4">
        <f ca="1">G12+F13*$E$2</f>
        <v>4.926526064274484E-4</v>
      </c>
      <c r="H13" s="8">
        <f t="shared" ca="1" si="1"/>
        <v>1.5729453159596136E-2</v>
      </c>
      <c r="I13" s="4">
        <f ca="1">I12+L12*$E$2</f>
        <v>9.5562778200098709E-3</v>
      </c>
      <c r="J13" s="4">
        <f>(1+$D$2*$E$2/$B$2)*J12+$E$2*(C12+$C$2)/$B$2</f>
        <v>0</v>
      </c>
      <c r="K13" s="8">
        <f t="shared" ref="K13:K76" ca="1" si="2">I13+$B$8*(H13-I13)</f>
        <v>1.0173595353968497E-2</v>
      </c>
      <c r="L13" s="8">
        <f ca="1">J13+$C$8*(H13-I13)/$E$2</f>
        <v>6.1731753395862638E-4</v>
      </c>
      <c r="O13" s="2"/>
      <c r="P13" s="2"/>
      <c r="Q13" s="2"/>
      <c r="R13" s="2"/>
      <c r="S13" s="2"/>
    </row>
    <row r="14" spans="1:19" x14ac:dyDescent="0.4">
      <c r="A14" s="5">
        <v>2</v>
      </c>
      <c r="B14" s="4">
        <f t="shared" ref="B14:B77" si="3">A14*$E$2</f>
        <v>0.2</v>
      </c>
      <c r="C14" s="4">
        <v>10</v>
      </c>
      <c r="D14" s="8">
        <f t="shared" ca="1" si="0"/>
        <v>9.7434064100564015</v>
      </c>
      <c r="E14" s="4">
        <f t="shared" ref="E14:E77" ca="1" si="4">(D14+$C$2+$D$2*F13)/$B$2</f>
        <v>-0.26152011600787295</v>
      </c>
      <c r="F14" s="4">
        <f t="shared" ref="F14:G29" ca="1" si="5">F13+E14*$E$2</f>
        <v>-2.1225485536512816E-2</v>
      </c>
      <c r="G14" s="4">
        <f t="shared" ca="1" si="5"/>
        <v>-1.6298959472238334E-3</v>
      </c>
      <c r="H14" s="8">
        <f t="shared" ca="1" si="1"/>
        <v>-1.7088824090637597E-2</v>
      </c>
      <c r="I14" s="4">
        <f t="shared" ref="I14:I77" ca="1" si="6">I13+L13*$E$2</f>
        <v>9.6180095734057329E-3</v>
      </c>
      <c r="J14" s="4">
        <f t="shared" ref="J14:J77" si="7">(1+$D$2*$E$2/$B$2)*J13+$E$2*(C13+$C$2)/$B$2</f>
        <v>0</v>
      </c>
      <c r="K14" s="8">
        <f t="shared" ca="1" si="2"/>
        <v>6.9473262070013997E-3</v>
      </c>
      <c r="L14" s="8">
        <f t="shared" ref="L14:L77" ca="1" si="8">J14+$C$8*(H14-I14)/$E$2</f>
        <v>-2.6706833664043332E-3</v>
      </c>
      <c r="O14" s="2"/>
      <c r="P14" s="2"/>
      <c r="Q14" s="2"/>
      <c r="R14" s="2"/>
      <c r="S14" s="2"/>
    </row>
    <row r="15" spans="1:19" x14ac:dyDescent="0.4">
      <c r="A15" s="5">
        <v>3</v>
      </c>
      <c r="B15" s="4">
        <f t="shared" si="3"/>
        <v>0.30000000000000004</v>
      </c>
      <c r="C15" s="4">
        <v>10</v>
      </c>
      <c r="D15" s="8">
        <f t="shared" ca="1" si="0"/>
        <v>10.012417042420179</v>
      </c>
      <c r="E15" s="4">
        <f t="shared" ca="1" si="4"/>
        <v>3.3642527956691419E-2</v>
      </c>
      <c r="F15" s="4">
        <f t="shared" ca="1" si="5"/>
        <v>-1.7861232740843672E-2</v>
      </c>
      <c r="G15" s="4">
        <f t="shared" ca="1" si="5"/>
        <v>-3.4160192213082007E-3</v>
      </c>
      <c r="H15" s="8">
        <f t="shared" ca="1" si="1"/>
        <v>7.3144029118919979E-4</v>
      </c>
      <c r="I15" s="4">
        <f t="shared" ca="1" si="6"/>
        <v>9.3509412367652998E-3</v>
      </c>
      <c r="J15" s="4">
        <f t="shared" si="7"/>
        <v>0</v>
      </c>
      <c r="K15" s="8">
        <f ca="1">I15+$B$8*(H15-I15)</f>
        <v>8.4889911422076896E-3</v>
      </c>
      <c r="L15" s="8">
        <f t="shared" ca="1" si="8"/>
        <v>-8.6195009455761001E-4</v>
      </c>
      <c r="O15" s="2"/>
      <c r="P15" s="2"/>
      <c r="Q15" s="2"/>
      <c r="R15" s="2"/>
      <c r="S15" s="2"/>
    </row>
    <row r="16" spans="1:19" x14ac:dyDescent="0.4">
      <c r="A16" s="5">
        <v>4</v>
      </c>
      <c r="B16" s="4">
        <f t="shared" si="3"/>
        <v>0.4</v>
      </c>
      <c r="C16" s="4">
        <v>10</v>
      </c>
      <c r="D16" s="8">
        <f t="shared" ca="1" si="0"/>
        <v>10.11600763951907</v>
      </c>
      <c r="E16" s="4">
        <f t="shared" ca="1" si="4"/>
        <v>0.13386887225991401</v>
      </c>
      <c r="F16" s="4">
        <f t="shared" ca="1" si="5"/>
        <v>-4.4743455148522713E-3</v>
      </c>
      <c r="G16" s="4">
        <f t="shared" ca="1" si="5"/>
        <v>-3.863453772793428E-3</v>
      </c>
      <c r="H16" s="8">
        <f t="shared" ca="1" si="1"/>
        <v>-3.4861152895958908E-3</v>
      </c>
      <c r="I16" s="4">
        <f t="shared" ca="1" si="6"/>
        <v>9.2647462273095383E-3</v>
      </c>
      <c r="J16" s="4">
        <f t="shared" si="7"/>
        <v>0</v>
      </c>
      <c r="K16" s="8">
        <f t="shared" ca="1" si="2"/>
        <v>7.9896600756189963E-3</v>
      </c>
      <c r="L16" s="8">
        <f t="shared" ca="1" si="8"/>
        <v>-1.2750861516905429E-3</v>
      </c>
      <c r="O16" s="2"/>
      <c r="P16" s="2"/>
      <c r="Q16" s="2"/>
      <c r="R16" s="2"/>
      <c r="S16" s="2"/>
    </row>
    <row r="17" spans="1:19" x14ac:dyDescent="0.4">
      <c r="A17" s="5">
        <v>5</v>
      </c>
      <c r="B17" s="4">
        <f t="shared" si="3"/>
        <v>0.5</v>
      </c>
      <c r="C17" s="4">
        <v>10</v>
      </c>
      <c r="D17" s="8">
        <f t="shared" ca="1" si="0"/>
        <v>9.9922348854264325</v>
      </c>
      <c r="E17" s="4">
        <f t="shared" ca="1" si="4"/>
        <v>-3.2907690587152729E-3</v>
      </c>
      <c r="F17" s="4">
        <f t="shared" ca="1" si="5"/>
        <v>-4.8034224207237986E-3</v>
      </c>
      <c r="G17" s="4">
        <f t="shared" ca="1" si="5"/>
        <v>-4.3437960148658078E-3</v>
      </c>
      <c r="H17" s="8">
        <f t="shared" ca="1" si="1"/>
        <v>-1.4241784046269901E-2</v>
      </c>
      <c r="I17" s="4">
        <f t="shared" ca="1" si="6"/>
        <v>9.1372376121404836E-3</v>
      </c>
      <c r="J17" s="4">
        <f t="shared" si="7"/>
        <v>0</v>
      </c>
      <c r="K17" s="8">
        <f t="shared" ca="1" si="2"/>
        <v>6.7993354462994454E-3</v>
      </c>
      <c r="L17" s="8">
        <f t="shared" ca="1" si="8"/>
        <v>-2.3379021658410386E-3</v>
      </c>
      <c r="O17" s="2"/>
      <c r="P17" s="2"/>
      <c r="Q17" s="2"/>
      <c r="R17" s="2"/>
      <c r="S17" s="2"/>
    </row>
    <row r="18" spans="1:19" x14ac:dyDescent="0.4">
      <c r="A18" s="5">
        <v>6</v>
      </c>
      <c r="B18" s="4">
        <f t="shared" si="3"/>
        <v>0.60000000000000009</v>
      </c>
      <c r="C18" s="4">
        <v>10</v>
      </c>
      <c r="D18" s="8">
        <f t="shared" ca="1" si="0"/>
        <v>10.089640142339118</v>
      </c>
      <c r="E18" s="4">
        <f t="shared" ca="1" si="4"/>
        <v>9.444356475984135E-2</v>
      </c>
      <c r="F18" s="4">
        <f t="shared" ca="1" si="5"/>
        <v>4.6409340552603364E-3</v>
      </c>
      <c r="G18" s="4">
        <f t="shared" ca="1" si="5"/>
        <v>-3.879702609339774E-3</v>
      </c>
      <c r="H18" s="8">
        <f t="shared" ca="1" si="1"/>
        <v>-6.0493464810874725E-3</v>
      </c>
      <c r="I18" s="4">
        <f t="shared" ca="1" si="6"/>
        <v>8.9034473955563794E-3</v>
      </c>
      <c r="J18" s="4">
        <f t="shared" si="7"/>
        <v>0</v>
      </c>
      <c r="K18" s="8">
        <f t="shared" ca="1" si="2"/>
        <v>7.408168007891994E-3</v>
      </c>
      <c r="L18" s="8">
        <f t="shared" ca="1" si="8"/>
        <v>-1.4952793876643852E-3</v>
      </c>
      <c r="O18" s="2"/>
    </row>
    <row r="19" spans="1:19" x14ac:dyDescent="0.4">
      <c r="A19" s="5">
        <v>7</v>
      </c>
      <c r="B19" s="4">
        <f t="shared" si="3"/>
        <v>0.70000000000000007</v>
      </c>
      <c r="C19" s="4">
        <v>10</v>
      </c>
      <c r="D19" s="8">
        <f t="shared" ca="1" si="0"/>
        <v>9.9849801162071437</v>
      </c>
      <c r="E19" s="4">
        <f t="shared" ca="1" si="4"/>
        <v>-1.9660817848116685E-2</v>
      </c>
      <c r="F19" s="4">
        <f t="shared" ca="1" si="5"/>
        <v>2.6748522704486679E-3</v>
      </c>
      <c r="G19" s="4">
        <f t="shared" ca="1" si="5"/>
        <v>-3.6122173822949071E-3</v>
      </c>
      <c r="H19" s="8">
        <f t="shared" ca="1" si="1"/>
        <v>7.8565166517535713E-4</v>
      </c>
      <c r="I19" s="4">
        <f t="shared" ca="1" si="6"/>
        <v>8.7539194567899416E-3</v>
      </c>
      <c r="J19" s="4">
        <f t="shared" si="7"/>
        <v>0</v>
      </c>
      <c r="K19" s="8">
        <f t="shared" ca="1" si="2"/>
        <v>7.9570926776284835E-3</v>
      </c>
      <c r="L19" s="8">
        <f t="shared" ca="1" si="8"/>
        <v>-7.9682677916145838E-4</v>
      </c>
      <c r="O19" s="2"/>
    </row>
    <row r="20" spans="1:19" x14ac:dyDescent="0.4">
      <c r="A20" s="5">
        <v>8</v>
      </c>
      <c r="B20" s="4">
        <f t="shared" si="3"/>
        <v>0.8</v>
      </c>
      <c r="C20" s="4">
        <v>10</v>
      </c>
      <c r="D20" s="8">
        <f t="shared" ca="1" si="0"/>
        <v>9.9195668529709842</v>
      </c>
      <c r="E20" s="4">
        <f t="shared" ca="1" si="4"/>
        <v>-8.3107999299464497E-2</v>
      </c>
      <c r="F20" s="4">
        <f t="shared" ca="1" si="5"/>
        <v>-5.6359476594977824E-3</v>
      </c>
      <c r="G20" s="4">
        <f t="shared" ca="1" si="5"/>
        <v>-4.1758121482446857E-3</v>
      </c>
      <c r="H20" s="8">
        <f t="shared" ca="1" si="1"/>
        <v>4.5349883563590866E-4</v>
      </c>
      <c r="I20" s="4">
        <f t="shared" ca="1" si="6"/>
        <v>8.6742367788737954E-3</v>
      </c>
      <c r="J20" s="4">
        <f t="shared" si="7"/>
        <v>0</v>
      </c>
      <c r="K20" s="8">
        <f t="shared" ca="1" si="2"/>
        <v>7.8521629845500068E-3</v>
      </c>
      <c r="L20" s="8">
        <f t="shared" ca="1" si="8"/>
        <v>-8.2207379432378859E-4</v>
      </c>
      <c r="O20" s="2"/>
    </row>
    <row r="21" spans="1:19" x14ac:dyDescent="0.4">
      <c r="A21" s="5">
        <v>9</v>
      </c>
      <c r="B21" s="4">
        <f t="shared" si="3"/>
        <v>0.9</v>
      </c>
      <c r="C21" s="4">
        <v>10</v>
      </c>
      <c r="D21" s="8">
        <f t="shared" ca="1" si="0"/>
        <v>9.8728911180011352</v>
      </c>
      <c r="E21" s="4">
        <f t="shared" ca="1" si="4"/>
        <v>-0.12147293433936705</v>
      </c>
      <c r="F21" s="4">
        <f t="shared" ca="1" si="5"/>
        <v>-1.7783241093434488E-2</v>
      </c>
      <c r="G21" s="4">
        <f t="shared" ca="1" si="5"/>
        <v>-5.9541362575881345E-3</v>
      </c>
      <c r="H21" s="8">
        <f t="shared" ca="1" si="1"/>
        <v>-1.4092007877820775E-2</v>
      </c>
      <c r="I21" s="4">
        <f t="shared" ca="1" si="6"/>
        <v>8.5920293994414167E-3</v>
      </c>
      <c r="J21" s="4">
        <f t="shared" si="7"/>
        <v>0</v>
      </c>
      <c r="K21" s="8">
        <f t="shared" ca="1" si="2"/>
        <v>6.3236256717151976E-3</v>
      </c>
      <c r="L21" s="8">
        <f t="shared" ca="1" si="8"/>
        <v>-2.2684037277262187E-3</v>
      </c>
      <c r="O21" s="2"/>
    </row>
    <row r="22" spans="1:19" x14ac:dyDescent="0.4">
      <c r="A22" s="5">
        <v>10</v>
      </c>
      <c r="B22" s="4">
        <f t="shared" si="3"/>
        <v>1</v>
      </c>
      <c r="C22" s="4">
        <v>10</v>
      </c>
      <c r="D22" s="8">
        <f t="shared" ca="1" si="0"/>
        <v>9.9466598202357037</v>
      </c>
      <c r="E22" s="4">
        <f t="shared" ca="1" si="4"/>
        <v>-3.5556938670861793E-2</v>
      </c>
      <c r="F22" s="4">
        <f t="shared" ca="1" si="5"/>
        <v>-2.1338934960520667E-2</v>
      </c>
      <c r="G22" s="4">
        <f t="shared" ca="1" si="5"/>
        <v>-8.0880297536402006E-3</v>
      </c>
      <c r="H22" s="8">
        <f t="shared" ca="1" si="1"/>
        <v>-1.428440135084243E-2</v>
      </c>
      <c r="I22" s="4">
        <f t="shared" ca="1" si="6"/>
        <v>8.3651890266687942E-3</v>
      </c>
      <c r="J22" s="4">
        <f t="shared" si="7"/>
        <v>0</v>
      </c>
      <c r="K22" s="8">
        <f t="shared" ca="1" si="2"/>
        <v>6.1002299889176721E-3</v>
      </c>
      <c r="L22" s="8">
        <f t="shared" ca="1" si="8"/>
        <v>-2.2649590377511221E-3</v>
      </c>
    </row>
    <row r="23" spans="1:19" x14ac:dyDescent="0.4">
      <c r="A23" s="5">
        <v>11</v>
      </c>
      <c r="B23" s="4">
        <f t="shared" si="3"/>
        <v>1.1000000000000001</v>
      </c>
      <c r="C23" s="4">
        <v>10</v>
      </c>
      <c r="D23" s="8">
        <f t="shared" ca="1" si="0"/>
        <v>9.8894649228534544</v>
      </c>
      <c r="E23" s="4">
        <f t="shared" ca="1" si="4"/>
        <v>-8.9196142186024979E-2</v>
      </c>
      <c r="F23" s="4">
        <f t="shared" ca="1" si="5"/>
        <v>-3.0258549179123163E-2</v>
      </c>
      <c r="G23" s="4">
        <f t="shared" ca="1" si="5"/>
        <v>-1.1113884671552518E-2</v>
      </c>
      <c r="H23" s="8">
        <f t="shared" ca="1" si="1"/>
        <v>-1.7075221472274124E-2</v>
      </c>
      <c r="I23" s="4">
        <f t="shared" ca="1" si="6"/>
        <v>8.138693122893682E-3</v>
      </c>
      <c r="J23" s="4">
        <f t="shared" si="7"/>
        <v>0</v>
      </c>
      <c r="K23" s="8">
        <f t="shared" ca="1" si="2"/>
        <v>5.617301663376901E-3</v>
      </c>
      <c r="L23" s="8">
        <f t="shared" ca="1" si="8"/>
        <v>-2.5213914595167805E-3</v>
      </c>
    </row>
    <row r="24" spans="1:19" x14ac:dyDescent="0.4">
      <c r="A24" s="5">
        <v>12</v>
      </c>
      <c r="B24" s="4">
        <f t="shared" si="3"/>
        <v>1.2000000000000002</v>
      </c>
      <c r="C24" s="4">
        <v>10</v>
      </c>
      <c r="D24" s="8">
        <f t="shared" ca="1" si="0"/>
        <v>10.079319516591099</v>
      </c>
      <c r="E24" s="4">
        <f t="shared" ca="1" si="4"/>
        <v>0.10957806577022186</v>
      </c>
      <c r="F24" s="4">
        <f t="shared" ca="1" si="5"/>
        <v>-1.9300742602100976E-2</v>
      </c>
      <c r="G24" s="4">
        <f t="shared" ca="1" si="5"/>
        <v>-1.3043958931762616E-2</v>
      </c>
      <c r="H24" s="8">
        <f t="shared" ca="1" si="1"/>
        <v>-1.3880251483996568E-2</v>
      </c>
      <c r="I24" s="4">
        <f t="shared" ca="1" si="6"/>
        <v>7.886553976942004E-3</v>
      </c>
      <c r="J24" s="4">
        <f t="shared" si="7"/>
        <v>0</v>
      </c>
      <c r="K24" s="8">
        <f t="shared" ca="1" si="2"/>
        <v>5.7098734308481461E-3</v>
      </c>
      <c r="L24" s="8">
        <f t="shared" ca="1" si="8"/>
        <v>-2.176680546093857E-3</v>
      </c>
    </row>
    <row r="25" spans="1:19" x14ac:dyDescent="0.4">
      <c r="A25" s="5">
        <v>13</v>
      </c>
      <c r="B25" s="4">
        <f t="shared" si="3"/>
        <v>1.3</v>
      </c>
      <c r="C25" s="4">
        <v>10</v>
      </c>
      <c r="D25" s="8">
        <f t="shared" ca="1" si="0"/>
        <v>10.08228852434191</v>
      </c>
      <c r="E25" s="4">
        <f t="shared" ca="1" si="4"/>
        <v>0.10158926694401145</v>
      </c>
      <c r="F25" s="4">
        <f t="shared" ca="1" si="5"/>
        <v>-9.1418159076998295E-3</v>
      </c>
      <c r="G25" s="4">
        <f t="shared" ca="1" si="5"/>
        <v>-1.39581405225326E-2</v>
      </c>
      <c r="H25" s="8">
        <f t="shared" ca="1" si="1"/>
        <v>-7.331733519117205E-3</v>
      </c>
      <c r="I25" s="4">
        <f t="shared" ca="1" si="6"/>
        <v>7.6688859223326186E-3</v>
      </c>
      <c r="J25" s="4">
        <f t="shared" si="7"/>
        <v>0</v>
      </c>
      <c r="K25" s="8">
        <f t="shared" ca="1" si="2"/>
        <v>6.1688239781876363E-3</v>
      </c>
      <c r="L25" s="8">
        <f t="shared" ca="1" si="8"/>
        <v>-1.5000619441449825E-3</v>
      </c>
    </row>
    <row r="26" spans="1:19" x14ac:dyDescent="0.4">
      <c r="A26" s="5">
        <v>14</v>
      </c>
      <c r="B26" s="4">
        <f t="shared" si="3"/>
        <v>1.4000000000000001</v>
      </c>
      <c r="C26" s="4">
        <v>10</v>
      </c>
      <c r="D26" s="8">
        <f t="shared" ca="1" si="0"/>
        <v>10.011565095343697</v>
      </c>
      <c r="E26" s="4">
        <f t="shared" ca="1" si="4"/>
        <v>2.070691125139637E-2</v>
      </c>
      <c r="F26" s="4">
        <f t="shared" ca="1" si="5"/>
        <v>-7.0711247825601918E-3</v>
      </c>
      <c r="G26" s="4">
        <f t="shared" ca="1" si="5"/>
        <v>-1.4665253000788619E-2</v>
      </c>
      <c r="H26" s="8">
        <f t="shared" ca="1" si="1"/>
        <v>-2.459112693879921E-2</v>
      </c>
      <c r="I26" s="4">
        <f t="shared" ca="1" si="6"/>
        <v>7.5188797279181199E-3</v>
      </c>
      <c r="J26" s="4">
        <f t="shared" si="7"/>
        <v>0</v>
      </c>
      <c r="K26" s="8">
        <f t="shared" ca="1" si="2"/>
        <v>4.307879061246387E-3</v>
      </c>
      <c r="L26" s="8">
        <f t="shared" ca="1" si="8"/>
        <v>-3.2110006666717329E-3</v>
      </c>
    </row>
    <row r="27" spans="1:19" x14ac:dyDescent="0.4">
      <c r="A27" s="5">
        <v>15</v>
      </c>
      <c r="B27" s="4">
        <f t="shared" si="3"/>
        <v>1.5</v>
      </c>
      <c r="C27" s="4">
        <v>10</v>
      </c>
      <c r="D27" s="8">
        <f t="shared" ca="1" si="0"/>
        <v>10.110696557756196</v>
      </c>
      <c r="E27" s="4">
        <f t="shared" ca="1" si="4"/>
        <v>0.117767682538756</v>
      </c>
      <c r="F27" s="4">
        <f t="shared" ca="1" si="5"/>
        <v>4.7056434713154092E-3</v>
      </c>
      <c r="G27" s="4">
        <f t="shared" ca="1" si="5"/>
        <v>-1.4194688653657079E-2</v>
      </c>
      <c r="H27" s="8">
        <f t="shared" ca="1" si="1"/>
        <v>-1.4374942745101732E-2</v>
      </c>
      <c r="I27" s="4">
        <f t="shared" ca="1" si="6"/>
        <v>7.1977796612509469E-3</v>
      </c>
      <c r="J27" s="4">
        <f t="shared" si="7"/>
        <v>0</v>
      </c>
      <c r="K27" s="8">
        <f t="shared" ca="1" si="2"/>
        <v>5.0405074206156791E-3</v>
      </c>
      <c r="L27" s="8">
        <f t="shared" ca="1" si="8"/>
        <v>-2.1572722406352678E-3</v>
      </c>
    </row>
    <row r="28" spans="1:19" x14ac:dyDescent="0.4">
      <c r="A28" s="5">
        <v>16</v>
      </c>
      <c r="B28" s="4">
        <f t="shared" si="3"/>
        <v>1.6</v>
      </c>
      <c r="C28" s="4">
        <v>10</v>
      </c>
      <c r="D28" s="8">
        <f t="shared" ca="1" si="0"/>
        <v>9.9790216285318998</v>
      </c>
      <c r="E28" s="4">
        <f t="shared" ca="1" si="4"/>
        <v>-2.568401493941563E-2</v>
      </c>
      <c r="F28" s="4">
        <f t="shared" ca="1" si="5"/>
        <v>2.1372419773738461E-3</v>
      </c>
      <c r="G28" s="4">
        <f t="shared" ca="1" si="5"/>
        <v>-1.3980964455919695E-2</v>
      </c>
      <c r="H28" s="8">
        <f t="shared" ca="1" si="1"/>
        <v>-7.811643378472205E-3</v>
      </c>
      <c r="I28" s="4">
        <f t="shared" ca="1" si="6"/>
        <v>6.9820524371874198E-3</v>
      </c>
      <c r="J28" s="4">
        <f t="shared" si="7"/>
        <v>0</v>
      </c>
      <c r="K28" s="8">
        <f t="shared" ca="1" si="2"/>
        <v>5.5026828556214574E-3</v>
      </c>
      <c r="L28" s="8">
        <f t="shared" ca="1" si="8"/>
        <v>-1.4793695815659626E-3</v>
      </c>
    </row>
    <row r="29" spans="1:19" x14ac:dyDescent="0.4">
      <c r="A29" s="5">
        <v>17</v>
      </c>
      <c r="B29" s="4">
        <f t="shared" si="3"/>
        <v>1.7000000000000002</v>
      </c>
      <c r="C29" s="4">
        <v>10</v>
      </c>
      <c r="D29" s="8">
        <f t="shared" ca="1" si="0"/>
        <v>10.025023907974228</v>
      </c>
      <c r="E29" s="4">
        <f t="shared" ca="1" si="4"/>
        <v>2.2886665996854419E-2</v>
      </c>
      <c r="F29" s="4">
        <f t="shared" ca="1" si="5"/>
        <v>4.4259085770592885E-3</v>
      </c>
      <c r="G29" s="4">
        <f t="shared" ca="1" si="5"/>
        <v>-1.3538373598213766E-2</v>
      </c>
      <c r="H29" s="8">
        <f t="shared" ca="1" si="1"/>
        <v>-2.0805893184561837E-2</v>
      </c>
      <c r="I29" s="4">
        <f t="shared" ca="1" si="6"/>
        <v>6.8341154790308237E-3</v>
      </c>
      <c r="J29" s="4">
        <f t="shared" si="7"/>
        <v>0</v>
      </c>
      <c r="K29" s="8">
        <f t="shared" ca="1" si="2"/>
        <v>4.0701146126715573E-3</v>
      </c>
      <c r="L29" s="8">
        <f t="shared" ca="1" si="8"/>
        <v>-2.764000866359266E-3</v>
      </c>
    </row>
    <row r="30" spans="1:19" x14ac:dyDescent="0.4">
      <c r="A30" s="5">
        <v>18</v>
      </c>
      <c r="B30" s="4">
        <f t="shared" si="3"/>
        <v>1.8</v>
      </c>
      <c r="C30" s="4">
        <v>10</v>
      </c>
      <c r="D30" s="8">
        <f t="shared" ca="1" si="0"/>
        <v>9.8790024330034978</v>
      </c>
      <c r="E30" s="4">
        <f t="shared" ca="1" si="4"/>
        <v>-0.12542347557356151</v>
      </c>
      <c r="F30" s="4">
        <f t="shared" ref="F30:G45" ca="1" si="9">F29+E30*$E$2</f>
        <v>-8.1164389802968629E-3</v>
      </c>
      <c r="G30" s="4">
        <f t="shared" ca="1" si="9"/>
        <v>-1.4350017496243452E-2</v>
      </c>
      <c r="H30" s="8">
        <f t="shared" ca="1" si="1"/>
        <v>-2.8138664047446207E-2</v>
      </c>
      <c r="I30" s="4">
        <f t="shared" ca="1" si="6"/>
        <v>6.5577153923948974E-3</v>
      </c>
      <c r="J30" s="4">
        <f t="shared" si="7"/>
        <v>0</v>
      </c>
      <c r="K30" s="8">
        <f t="shared" ca="1" si="2"/>
        <v>3.0880774484107866E-3</v>
      </c>
      <c r="L30" s="8">
        <f t="shared" ca="1" si="8"/>
        <v>-3.4696379439841107E-3</v>
      </c>
    </row>
    <row r="31" spans="1:19" x14ac:dyDescent="0.4">
      <c r="A31" s="5">
        <v>19</v>
      </c>
      <c r="B31" s="4">
        <f t="shared" si="3"/>
        <v>1.9000000000000001</v>
      </c>
      <c r="C31" s="4">
        <v>10</v>
      </c>
      <c r="D31" s="8">
        <f t="shared" ca="1" si="0"/>
        <v>9.991348960524741</v>
      </c>
      <c r="E31" s="4">
        <f t="shared" ca="1" si="4"/>
        <v>-5.3460049496216293E-4</v>
      </c>
      <c r="F31" s="4">
        <f t="shared" ca="1" si="9"/>
        <v>-8.169899029793079E-3</v>
      </c>
      <c r="G31" s="4">
        <f t="shared" ca="1" si="9"/>
        <v>-1.516700739922276E-2</v>
      </c>
      <c r="H31" s="8">
        <f t="shared" ca="1" si="1"/>
        <v>-7.73965020422826E-3</v>
      </c>
      <c r="I31" s="4">
        <f t="shared" ca="1" si="6"/>
        <v>6.2107515979964861E-3</v>
      </c>
      <c r="J31" s="4">
        <f t="shared" si="7"/>
        <v>0</v>
      </c>
      <c r="K31" s="8">
        <f t="shared" ca="1" si="2"/>
        <v>4.8157114177740119E-3</v>
      </c>
      <c r="L31" s="8">
        <f t="shared" ca="1" si="8"/>
        <v>-1.3950401802224747E-3</v>
      </c>
    </row>
    <row r="32" spans="1:19" x14ac:dyDescent="0.4">
      <c r="A32" s="5">
        <v>20</v>
      </c>
      <c r="B32" s="4">
        <f t="shared" si="3"/>
        <v>2</v>
      </c>
      <c r="C32" s="4">
        <v>10</v>
      </c>
      <c r="D32" s="8">
        <f t="shared" ca="1" si="0"/>
        <v>9.9751658512936885</v>
      </c>
      <c r="E32" s="4">
        <f t="shared" ca="1" si="4"/>
        <v>-1.6664249676518431E-2</v>
      </c>
      <c r="F32" s="4">
        <f t="shared" ca="1" si="9"/>
        <v>-9.8363239974449228E-3</v>
      </c>
      <c r="G32" s="4">
        <f t="shared" ca="1" si="9"/>
        <v>-1.6150639798967251E-2</v>
      </c>
      <c r="H32" s="8">
        <f t="shared" ca="1" si="1"/>
        <v>7.4414485230199605E-3</v>
      </c>
      <c r="I32" s="4">
        <f t="shared" ca="1" si="6"/>
        <v>6.0712475799742389E-3</v>
      </c>
      <c r="J32" s="4">
        <f t="shared" si="7"/>
        <v>0</v>
      </c>
      <c r="K32" s="8">
        <f t="shared" ca="1" si="2"/>
        <v>6.2082676742788107E-3</v>
      </c>
      <c r="L32" s="8">
        <f t="shared" ca="1" si="8"/>
        <v>1.3702009430457214E-4</v>
      </c>
    </row>
    <row r="33" spans="1:12" x14ac:dyDescent="0.4">
      <c r="A33" s="5">
        <v>21</v>
      </c>
      <c r="B33" s="4">
        <f t="shared" si="3"/>
        <v>2.1</v>
      </c>
      <c r="C33" s="4">
        <v>10</v>
      </c>
      <c r="D33" s="8">
        <f t="shared" ca="1" si="0"/>
        <v>10.067937578760771</v>
      </c>
      <c r="E33" s="4">
        <f t="shared" ca="1" si="4"/>
        <v>7.7773902758216371E-2</v>
      </c>
      <c r="F33" s="4">
        <f t="shared" ca="1" si="9"/>
        <v>-2.0589337216232852E-3</v>
      </c>
      <c r="G33" s="4">
        <f t="shared" ca="1" si="9"/>
        <v>-1.6356533171129579E-2</v>
      </c>
      <c r="H33" s="8">
        <f t="shared" ca="1" si="1"/>
        <v>-2.2668543434122765E-2</v>
      </c>
      <c r="I33" s="4">
        <f t="shared" ca="1" si="6"/>
        <v>6.0849495894046961E-3</v>
      </c>
      <c r="J33" s="4">
        <f t="shared" si="7"/>
        <v>0</v>
      </c>
      <c r="K33" s="8">
        <f t="shared" ca="1" si="2"/>
        <v>3.2096002870519499E-3</v>
      </c>
      <c r="L33" s="8">
        <f t="shared" ca="1" si="8"/>
        <v>-2.8753493023527463E-3</v>
      </c>
    </row>
    <row r="34" spans="1:12" x14ac:dyDescent="0.4">
      <c r="A34" s="5">
        <v>22</v>
      </c>
      <c r="B34" s="4">
        <f t="shared" si="3"/>
        <v>2.2000000000000002</v>
      </c>
      <c r="C34" s="4">
        <v>10</v>
      </c>
      <c r="D34" s="8">
        <f t="shared" ca="1" si="0"/>
        <v>9.7964457971563181</v>
      </c>
      <c r="E34" s="4">
        <f t="shared" ca="1" si="4"/>
        <v>-0.20149526912205859</v>
      </c>
      <c r="F34" s="4">
        <f t="shared" ca="1" si="9"/>
        <v>-2.2208460633829145E-2</v>
      </c>
      <c r="G34" s="4">
        <f t="shared" ca="1" si="9"/>
        <v>-1.8577379234512494E-2</v>
      </c>
      <c r="H34" s="8">
        <f t="shared" ca="1" si="1"/>
        <v>-1.5132884893949816E-2</v>
      </c>
      <c r="I34" s="4">
        <f t="shared" ca="1" si="6"/>
        <v>5.7974146591694212E-3</v>
      </c>
      <c r="J34" s="4">
        <f t="shared" si="7"/>
        <v>0</v>
      </c>
      <c r="K34" s="8">
        <f t="shared" ca="1" si="2"/>
        <v>3.7043847038574973E-3</v>
      </c>
      <c r="L34" s="8">
        <f t="shared" ca="1" si="8"/>
        <v>-2.0930299553119239E-3</v>
      </c>
    </row>
    <row r="35" spans="1:12" x14ac:dyDescent="0.4">
      <c r="A35" s="5">
        <v>23</v>
      </c>
      <c r="B35" s="4">
        <f t="shared" si="3"/>
        <v>2.3000000000000003</v>
      </c>
      <c r="C35" s="4">
        <v>10</v>
      </c>
      <c r="D35" s="8">
        <f t="shared" ca="1" si="0"/>
        <v>9.998419610322749</v>
      </c>
      <c r="E35" s="4">
        <f t="shared" ca="1" si="4"/>
        <v>2.0628070956578096E-2</v>
      </c>
      <c r="F35" s="4">
        <f t="shared" ca="1" si="9"/>
        <v>-2.0145653538171333E-2</v>
      </c>
      <c r="G35" s="4">
        <f t="shared" ca="1" si="9"/>
        <v>-2.0591944588329629E-2</v>
      </c>
      <c r="H35" s="8">
        <f t="shared" ca="1" si="1"/>
        <v>-3.1312093113984779E-2</v>
      </c>
      <c r="I35" s="4">
        <f t="shared" ca="1" si="6"/>
        <v>5.5881116636382292E-3</v>
      </c>
      <c r="J35" s="4">
        <f t="shared" si="7"/>
        <v>0</v>
      </c>
      <c r="K35" s="8">
        <f t="shared" ca="1" si="2"/>
        <v>1.8980911858759286E-3</v>
      </c>
      <c r="L35" s="8">
        <f t="shared" ca="1" si="8"/>
        <v>-3.6900204777623007E-3</v>
      </c>
    </row>
    <row r="36" spans="1:12" x14ac:dyDescent="0.4">
      <c r="A36" s="5">
        <v>24</v>
      </c>
      <c r="B36" s="4">
        <f t="shared" si="3"/>
        <v>2.4000000000000004</v>
      </c>
      <c r="C36" s="4">
        <v>10</v>
      </c>
      <c r="D36" s="8">
        <f t="shared" ca="1" si="0"/>
        <v>10.118244397637428</v>
      </c>
      <c r="E36" s="4">
        <f t="shared" ca="1" si="4"/>
        <v>0.13839005117559899</v>
      </c>
      <c r="F36" s="4">
        <f t="shared" ca="1" si="9"/>
        <v>-6.3066484206114326E-3</v>
      </c>
      <c r="G36" s="4">
        <f t="shared" ca="1" si="9"/>
        <v>-2.1222609430390772E-2</v>
      </c>
      <c r="H36" s="8">
        <f t="shared" ca="1" si="1"/>
        <v>-2.5323425481821281E-3</v>
      </c>
      <c r="I36" s="4">
        <f t="shared" ca="1" si="6"/>
        <v>5.219109615861999E-3</v>
      </c>
      <c r="J36" s="4">
        <f t="shared" si="7"/>
        <v>0</v>
      </c>
      <c r="K36" s="8">
        <f t="shared" ca="1" si="2"/>
        <v>4.4439643994575867E-3</v>
      </c>
      <c r="L36" s="8">
        <f t="shared" ca="1" si="8"/>
        <v>-7.751452164044126E-4</v>
      </c>
    </row>
    <row r="37" spans="1:12" x14ac:dyDescent="0.4">
      <c r="A37" s="5">
        <v>25</v>
      </c>
      <c r="B37" s="4">
        <f t="shared" si="3"/>
        <v>2.5</v>
      </c>
      <c r="C37" s="4">
        <v>12</v>
      </c>
      <c r="D37" s="8">
        <f t="shared" ca="1" si="0"/>
        <v>12.028365854460787</v>
      </c>
      <c r="E37" s="4">
        <f t="shared" ca="1" si="4"/>
        <v>2.0346725028813988</v>
      </c>
      <c r="F37" s="4">
        <f t="shared" ca="1" si="9"/>
        <v>0.19716060186752846</v>
      </c>
      <c r="G37" s="4">
        <f t="shared" ca="1" si="9"/>
        <v>-1.5065492436379252E-3</v>
      </c>
      <c r="H37" s="8">
        <f t="shared" ca="1" si="1"/>
        <v>8.5454081887520288E-3</v>
      </c>
      <c r="I37" s="4">
        <f t="shared" ca="1" si="6"/>
        <v>5.1415950942215573E-3</v>
      </c>
      <c r="J37" s="4">
        <f t="shared" si="7"/>
        <v>0</v>
      </c>
      <c r="K37" s="8">
        <f t="shared" ca="1" si="2"/>
        <v>5.4819764036746045E-3</v>
      </c>
      <c r="L37" s="8">
        <f t="shared" ca="1" si="8"/>
        <v>3.4038130945304718E-4</v>
      </c>
    </row>
    <row r="38" spans="1:12" x14ac:dyDescent="0.4">
      <c r="A38" s="5">
        <v>26</v>
      </c>
      <c r="B38" s="4">
        <f t="shared" si="3"/>
        <v>2.6</v>
      </c>
      <c r="C38" s="4">
        <v>12</v>
      </c>
      <c r="D38" s="8">
        <f t="shared" ca="1" si="0"/>
        <v>11.876936923677926</v>
      </c>
      <c r="E38" s="4">
        <f t="shared" ca="1" si="4"/>
        <v>1.6797763218103974</v>
      </c>
      <c r="F38" s="4">
        <f t="shared" ca="1" si="9"/>
        <v>0.36513823404856821</v>
      </c>
      <c r="G38" s="4">
        <f t="shared" ca="1" si="9"/>
        <v>3.5007274161218897E-2</v>
      </c>
      <c r="H38" s="8">
        <f t="shared" ca="1" si="1"/>
        <v>4.1534000208742622E-2</v>
      </c>
      <c r="I38" s="4">
        <f t="shared" ca="1" si="6"/>
        <v>5.1756332251668624E-3</v>
      </c>
      <c r="J38" s="4">
        <f t="shared" si="7"/>
        <v>0.2</v>
      </c>
      <c r="K38" s="8">
        <f t="shared" ca="1" si="2"/>
        <v>8.8114699235244381E-3</v>
      </c>
      <c r="L38" s="8">
        <f t="shared" ca="1" si="8"/>
        <v>0.20363583669835758</v>
      </c>
    </row>
    <row r="39" spans="1:12" x14ac:dyDescent="0.4">
      <c r="A39" s="5">
        <v>27</v>
      </c>
      <c r="B39" s="4">
        <f t="shared" si="3"/>
        <v>2.7</v>
      </c>
      <c r="C39" s="4">
        <v>12</v>
      </c>
      <c r="D39" s="8">
        <f t="shared" ca="1" si="0"/>
        <v>12.046376042432991</v>
      </c>
      <c r="E39" s="4">
        <f t="shared" ca="1" si="4"/>
        <v>1.6812378083844226</v>
      </c>
      <c r="F39" s="4">
        <f t="shared" ca="1" si="9"/>
        <v>0.53326201488701042</v>
      </c>
      <c r="G39" s="4">
        <f t="shared" ca="1" si="9"/>
        <v>8.8333475649919946E-2</v>
      </c>
      <c r="H39" s="8">
        <f t="shared" ca="1" si="1"/>
        <v>9.2459037429754726E-2</v>
      </c>
      <c r="I39" s="4">
        <f t="shared" ca="1" si="6"/>
        <v>2.5539216895002624E-2</v>
      </c>
      <c r="J39" s="4">
        <f t="shared" si="7"/>
        <v>0.38</v>
      </c>
      <c r="K39" s="8">
        <f t="shared" ca="1" si="2"/>
        <v>3.2231198948477834E-2</v>
      </c>
      <c r="L39" s="8">
        <f t="shared" ca="1" si="8"/>
        <v>0.38669198205347521</v>
      </c>
    </row>
    <row r="40" spans="1:12" x14ac:dyDescent="0.4">
      <c r="A40" s="5">
        <v>28</v>
      </c>
      <c r="B40" s="4">
        <f t="shared" si="3"/>
        <v>2.8000000000000003</v>
      </c>
      <c r="C40" s="4">
        <v>12</v>
      </c>
      <c r="D40" s="8">
        <f t="shared" ca="1" si="0"/>
        <v>12.016916883216416</v>
      </c>
      <c r="E40" s="4">
        <f t="shared" ca="1" si="4"/>
        <v>1.4836548683294053</v>
      </c>
      <c r="F40" s="4">
        <f t="shared" ca="1" si="9"/>
        <v>0.6816275017199509</v>
      </c>
      <c r="G40" s="4">
        <f t="shared" ca="1" si="9"/>
        <v>0.15649622582191502</v>
      </c>
      <c r="H40" s="8">
        <f t="shared" ca="1" si="1"/>
        <v>0.15068989059842106</v>
      </c>
      <c r="I40" s="4">
        <f t="shared" ca="1" si="6"/>
        <v>6.420841510035015E-2</v>
      </c>
      <c r="J40" s="4">
        <f t="shared" si="7"/>
        <v>0.54200000000000004</v>
      </c>
      <c r="K40" s="8">
        <f t="shared" ca="1" si="2"/>
        <v>7.2856562650157247E-2</v>
      </c>
      <c r="L40" s="8">
        <f t="shared" ca="1" si="8"/>
        <v>0.55064814754980718</v>
      </c>
    </row>
    <row r="41" spans="1:12" x14ac:dyDescent="0.4">
      <c r="A41" s="5">
        <v>29</v>
      </c>
      <c r="B41" s="4">
        <f t="shared" si="3"/>
        <v>2.9000000000000004</v>
      </c>
      <c r="C41" s="4">
        <v>12</v>
      </c>
      <c r="D41" s="8">
        <f t="shared" ca="1" si="0"/>
        <v>12.146009254630643</v>
      </c>
      <c r="E41" s="4">
        <f t="shared" ca="1" si="4"/>
        <v>1.4643817529106922</v>
      </c>
      <c r="F41" s="4">
        <f t="shared" ca="1" si="9"/>
        <v>0.82806567701102018</v>
      </c>
      <c r="G41" s="4">
        <f t="shared" ca="1" si="9"/>
        <v>0.23930279352301703</v>
      </c>
      <c r="H41" s="8">
        <f t="shared" ca="1" si="1"/>
        <v>0.24244747205159012</v>
      </c>
      <c r="I41" s="4">
        <f t="shared" ca="1" si="6"/>
        <v>0.11927322985533087</v>
      </c>
      <c r="J41" s="4">
        <f t="shared" si="7"/>
        <v>0.68780000000000008</v>
      </c>
      <c r="K41" s="8">
        <f t="shared" ca="1" si="2"/>
        <v>0.13159065407495679</v>
      </c>
      <c r="L41" s="8">
        <f t="shared" ca="1" si="8"/>
        <v>0.70011742421962597</v>
      </c>
    </row>
    <row r="42" spans="1:12" x14ac:dyDescent="0.4">
      <c r="A42" s="5">
        <v>30</v>
      </c>
      <c r="B42" s="4">
        <f t="shared" si="3"/>
        <v>3</v>
      </c>
      <c r="C42" s="4">
        <v>12</v>
      </c>
      <c r="D42" s="8">
        <f t="shared" ca="1" si="0"/>
        <v>11.956674242000187</v>
      </c>
      <c r="E42" s="4">
        <f t="shared" ca="1" si="4"/>
        <v>1.1286085649891664</v>
      </c>
      <c r="F42" s="4">
        <f t="shared" ca="1" si="9"/>
        <v>0.94092653350993682</v>
      </c>
      <c r="G42" s="4">
        <f t="shared" ca="1" si="9"/>
        <v>0.33339544687401074</v>
      </c>
      <c r="H42" s="8">
        <f t="shared" ca="1" si="1"/>
        <v>0.32512486652144257</v>
      </c>
      <c r="I42" s="4">
        <f t="shared" ca="1" si="6"/>
        <v>0.18928497227729346</v>
      </c>
      <c r="J42" s="4">
        <f t="shared" si="7"/>
        <v>0.81902000000000008</v>
      </c>
      <c r="K42" s="8">
        <f t="shared" ca="1" si="2"/>
        <v>0.20286896170170837</v>
      </c>
      <c r="L42" s="8">
        <f t="shared" ca="1" si="8"/>
        <v>0.83260398942441505</v>
      </c>
    </row>
    <row r="43" spans="1:12" x14ac:dyDescent="0.4">
      <c r="A43" s="5">
        <v>31</v>
      </c>
      <c r="B43" s="4">
        <f t="shared" si="3"/>
        <v>3.1</v>
      </c>
      <c r="C43" s="4">
        <v>12</v>
      </c>
      <c r="D43" s="8">
        <f t="shared" ca="1" si="0"/>
        <v>11.956428889487267</v>
      </c>
      <c r="E43" s="4">
        <f t="shared" ca="1" si="4"/>
        <v>1.01550235597733</v>
      </c>
      <c r="F43" s="4">
        <f t="shared" ca="1" si="9"/>
        <v>1.0424767691076697</v>
      </c>
      <c r="G43" s="4">
        <f t="shared" ca="1" si="9"/>
        <v>0.43764312378477771</v>
      </c>
      <c r="H43" s="8">
        <f t="shared" ca="1" si="1"/>
        <v>0.43188607854032229</v>
      </c>
      <c r="I43" s="4">
        <f t="shared" ca="1" si="6"/>
        <v>0.27254537121973499</v>
      </c>
      <c r="J43" s="4">
        <f t="shared" si="7"/>
        <v>0.93711800000000012</v>
      </c>
      <c r="K43" s="8">
        <f t="shared" ca="1" si="2"/>
        <v>0.2884794419517937</v>
      </c>
      <c r="L43" s="8">
        <f t="shared" ca="1" si="8"/>
        <v>0.95305207073205889</v>
      </c>
    </row>
    <row r="44" spans="1:12" x14ac:dyDescent="0.4">
      <c r="A44" s="5">
        <v>32</v>
      </c>
      <c r="B44" s="4">
        <f t="shared" si="3"/>
        <v>3.2</v>
      </c>
      <c r="C44" s="4">
        <v>12</v>
      </c>
      <c r="D44" s="8">
        <f t="shared" ca="1" si="0"/>
        <v>11.901432004063963</v>
      </c>
      <c r="E44" s="4">
        <f t="shared" ca="1" si="4"/>
        <v>0.85895523495629345</v>
      </c>
      <c r="F44" s="4">
        <f t="shared" ca="1" si="9"/>
        <v>1.1283722926032991</v>
      </c>
      <c r="G44" s="4">
        <f t="shared" ca="1" si="9"/>
        <v>0.55048035304510767</v>
      </c>
      <c r="H44" s="8">
        <f t="shared" ca="1" si="1"/>
        <v>0.53518963949230902</v>
      </c>
      <c r="I44" s="4">
        <f t="shared" ca="1" si="6"/>
        <v>0.36785057829294088</v>
      </c>
      <c r="J44" s="4">
        <f t="shared" si="7"/>
        <v>1.0434062000000002</v>
      </c>
      <c r="K44" s="8">
        <f t="shared" ca="1" si="2"/>
        <v>0.38458448441287768</v>
      </c>
      <c r="L44" s="8">
        <f t="shared" ca="1" si="8"/>
        <v>1.0601401061199369</v>
      </c>
    </row>
    <row r="45" spans="1:12" x14ac:dyDescent="0.4">
      <c r="A45" s="5">
        <v>33</v>
      </c>
      <c r="B45" s="4">
        <f t="shared" si="3"/>
        <v>3.3000000000000003</v>
      </c>
      <c r="C45" s="4">
        <v>12</v>
      </c>
      <c r="D45" s="8">
        <f t="shared" ca="1" si="0"/>
        <v>11.782763664969716</v>
      </c>
      <c r="E45" s="4">
        <f t="shared" ca="1" si="4"/>
        <v>0.65439137236641676</v>
      </c>
      <c r="F45" s="4">
        <f t="shared" ca="1" si="9"/>
        <v>1.1938114298399407</v>
      </c>
      <c r="G45" s="4">
        <f t="shared" ca="1" si="9"/>
        <v>0.66986149602910172</v>
      </c>
      <c r="H45" s="8">
        <f t="shared" ca="1" si="1"/>
        <v>0.66645042693502365</v>
      </c>
      <c r="I45" s="4">
        <f t="shared" ca="1" si="6"/>
        <v>0.47386458890493455</v>
      </c>
      <c r="J45" s="4">
        <f t="shared" si="7"/>
        <v>1.1390655800000002</v>
      </c>
      <c r="K45" s="8">
        <f t="shared" ca="1" si="2"/>
        <v>0.49312317270794348</v>
      </c>
      <c r="L45" s="8">
        <f t="shared" ca="1" si="8"/>
        <v>1.1583241638030091</v>
      </c>
    </row>
    <row r="46" spans="1:12" x14ac:dyDescent="0.4">
      <c r="A46" s="5">
        <v>34</v>
      </c>
      <c r="B46" s="4">
        <f t="shared" si="3"/>
        <v>3.4000000000000004</v>
      </c>
      <c r="C46" s="4">
        <v>12</v>
      </c>
      <c r="D46" s="8">
        <f t="shared" ca="1" si="0"/>
        <v>11.991374914396371</v>
      </c>
      <c r="E46" s="4">
        <f t="shared" ca="1" si="4"/>
        <v>0.79756348455642989</v>
      </c>
      <c r="F46" s="4">
        <f t="shared" ref="F46:G61" ca="1" si="10">F45+E46*$E$2</f>
        <v>1.2735677782955837</v>
      </c>
      <c r="G46" s="4">
        <f t="shared" ca="1" si="10"/>
        <v>0.79721827385866006</v>
      </c>
      <c r="H46" s="8">
        <f t="shared" ca="1" si="1"/>
        <v>0.80244902605469171</v>
      </c>
      <c r="I46" s="4">
        <f t="shared" ca="1" si="6"/>
        <v>0.5896970052852355</v>
      </c>
      <c r="J46" s="4">
        <f t="shared" si="7"/>
        <v>1.2251590220000002</v>
      </c>
      <c r="K46" s="8">
        <f t="shared" ca="1" si="2"/>
        <v>0.61097220736218116</v>
      </c>
      <c r="L46" s="8">
        <f t="shared" ca="1" si="8"/>
        <v>1.2464342240769457</v>
      </c>
    </row>
    <row r="47" spans="1:12" x14ac:dyDescent="0.4">
      <c r="A47" s="5">
        <v>35</v>
      </c>
      <c r="B47" s="4">
        <f t="shared" si="3"/>
        <v>3.5</v>
      </c>
      <c r="C47" s="4">
        <v>12</v>
      </c>
      <c r="D47" s="8">
        <f t="shared" ca="1" si="0"/>
        <v>11.986720528888586</v>
      </c>
      <c r="E47" s="4">
        <f t="shared" ca="1" si="4"/>
        <v>0.71315275059300265</v>
      </c>
      <c r="F47" s="4">
        <f t="shared" ca="1" si="10"/>
        <v>1.3448830533548839</v>
      </c>
      <c r="G47" s="4">
        <f t="shared" ca="1" si="10"/>
        <v>0.93170657919414845</v>
      </c>
      <c r="H47" s="8">
        <f t="shared" ca="1" si="1"/>
        <v>0.94263569519372115</v>
      </c>
      <c r="I47" s="4">
        <f t="shared" ca="1" si="6"/>
        <v>0.71434042769293005</v>
      </c>
      <c r="J47" s="4">
        <f t="shared" si="7"/>
        <v>1.3026431198000001</v>
      </c>
      <c r="K47" s="8">
        <f t="shared" ca="1" si="2"/>
        <v>0.73716995444300915</v>
      </c>
      <c r="L47" s="8">
        <f t="shared" ca="1" si="8"/>
        <v>1.3254726465500792</v>
      </c>
    </row>
    <row r="48" spans="1:12" x14ac:dyDescent="0.4">
      <c r="A48" s="5">
        <v>36</v>
      </c>
      <c r="B48" s="4">
        <f t="shared" si="3"/>
        <v>3.6</v>
      </c>
      <c r="C48" s="4">
        <v>12</v>
      </c>
      <c r="D48" s="8">
        <f t="shared" ca="1" si="0"/>
        <v>12.002490375364159</v>
      </c>
      <c r="E48" s="4">
        <f t="shared" ca="1" si="4"/>
        <v>0.6576073220092753</v>
      </c>
      <c r="F48" s="4">
        <f t="shared" ca="1" si="10"/>
        <v>1.4106437855558114</v>
      </c>
      <c r="G48" s="4">
        <f t="shared" ca="1" si="10"/>
        <v>1.0727709577497295</v>
      </c>
      <c r="H48" s="8">
        <f t="shared" ca="1" si="1"/>
        <v>1.0715163574005369</v>
      </c>
      <c r="I48" s="4">
        <f t="shared" ca="1" si="6"/>
        <v>0.84688769234793804</v>
      </c>
      <c r="J48" s="4">
        <f t="shared" si="7"/>
        <v>1.3723788078200001</v>
      </c>
      <c r="K48" s="8">
        <f t="shared" ca="1" si="2"/>
        <v>0.8693505588531979</v>
      </c>
      <c r="L48" s="8">
        <f t="shared" ca="1" si="8"/>
        <v>1.3948416743252601</v>
      </c>
    </row>
    <row r="49" spans="1:12" x14ac:dyDescent="0.4">
      <c r="A49" s="5">
        <v>37</v>
      </c>
      <c r="B49" s="4">
        <f t="shared" si="3"/>
        <v>3.7</v>
      </c>
      <c r="C49" s="4">
        <v>12</v>
      </c>
      <c r="D49" s="8">
        <f t="shared" ca="1" si="0"/>
        <v>11.9139063477586</v>
      </c>
      <c r="E49" s="4">
        <f t="shared" ca="1" si="4"/>
        <v>0.5032625622027882</v>
      </c>
      <c r="F49" s="4">
        <f t="shared" ca="1" si="10"/>
        <v>1.4609700417760902</v>
      </c>
      <c r="G49" s="4">
        <f t="shared" ca="1" si="10"/>
        <v>1.2188679619273386</v>
      </c>
      <c r="H49" s="8">
        <f t="shared" ca="1" si="1"/>
        <v>1.2348045362563482</v>
      </c>
      <c r="I49" s="4">
        <f t="shared" ca="1" si="6"/>
        <v>0.98637185978046404</v>
      </c>
      <c r="J49" s="4">
        <f t="shared" si="7"/>
        <v>1.435140927038</v>
      </c>
      <c r="K49" s="8">
        <f t="shared" ca="1" si="2"/>
        <v>1.0112151274280525</v>
      </c>
      <c r="L49" s="8">
        <f t="shared" ca="1" si="8"/>
        <v>1.4599841946855885</v>
      </c>
    </row>
    <row r="50" spans="1:12" x14ac:dyDescent="0.4">
      <c r="A50" s="5">
        <v>38</v>
      </c>
      <c r="B50" s="4">
        <f t="shared" si="3"/>
        <v>3.8000000000000003</v>
      </c>
      <c r="C50" s="4">
        <v>12</v>
      </c>
      <c r="D50" s="8">
        <f t="shared" ca="1" si="0"/>
        <v>11.99537518554822</v>
      </c>
      <c r="E50" s="4">
        <f t="shared" ca="1" si="4"/>
        <v>0.53440514377212933</v>
      </c>
      <c r="F50" s="4">
        <f t="shared" ca="1" si="10"/>
        <v>1.5144105561533032</v>
      </c>
      <c r="G50" s="4">
        <f t="shared" ca="1" si="10"/>
        <v>1.3703090175426689</v>
      </c>
      <c r="H50" s="8">
        <f t="shared" ca="1" si="1"/>
        <v>1.3818313500314519</v>
      </c>
      <c r="I50" s="4">
        <f t="shared" ca="1" si="6"/>
        <v>1.1323702792490229</v>
      </c>
      <c r="J50" s="4">
        <f t="shared" si="7"/>
        <v>1.4916268343342001</v>
      </c>
      <c r="K50" s="8">
        <f t="shared" ca="1" si="2"/>
        <v>1.1573163863272657</v>
      </c>
      <c r="L50" s="8">
        <f t="shared" ca="1" si="8"/>
        <v>1.5165729414124429</v>
      </c>
    </row>
    <row r="51" spans="1:12" x14ac:dyDescent="0.4">
      <c r="A51" s="5">
        <v>39</v>
      </c>
      <c r="B51" s="4">
        <f t="shared" si="3"/>
        <v>3.9000000000000004</v>
      </c>
      <c r="C51" s="4">
        <v>12</v>
      </c>
      <c r="D51" s="8">
        <f t="shared" ca="1" si="0"/>
        <v>11.99289021355545</v>
      </c>
      <c r="E51" s="4">
        <f t="shared" ca="1" si="4"/>
        <v>0.4784796574021466</v>
      </c>
      <c r="F51" s="4">
        <f t="shared" ca="1" si="10"/>
        <v>1.5622585218935179</v>
      </c>
      <c r="G51" s="4">
        <f t="shared" ca="1" si="10"/>
        <v>1.5265348697320207</v>
      </c>
      <c r="H51" s="8">
        <f t="shared" ca="1" si="1"/>
        <v>1.5248212002916679</v>
      </c>
      <c r="I51" s="4">
        <f t="shared" ca="1" si="6"/>
        <v>1.2840275733902673</v>
      </c>
      <c r="J51" s="4">
        <f t="shared" si="7"/>
        <v>1.5424641509007802</v>
      </c>
      <c r="K51" s="8">
        <f t="shared" ca="1" si="2"/>
        <v>1.3081069360804074</v>
      </c>
      <c r="L51" s="8">
        <f t="shared" ca="1" si="8"/>
        <v>1.5665435135909203</v>
      </c>
    </row>
    <row r="52" spans="1:12" x14ac:dyDescent="0.4">
      <c r="A52" s="5">
        <v>40</v>
      </c>
      <c r="B52" s="4">
        <f t="shared" si="3"/>
        <v>4</v>
      </c>
      <c r="C52" s="4">
        <v>12</v>
      </c>
      <c r="D52" s="8">
        <f t="shared" ca="1" si="0"/>
        <v>12.066975011802612</v>
      </c>
      <c r="E52" s="4">
        <f t="shared" ca="1" si="4"/>
        <v>0.50471648990909368</v>
      </c>
      <c r="F52" s="4">
        <f t="shared" ca="1" si="10"/>
        <v>1.6127301708844273</v>
      </c>
      <c r="G52" s="4">
        <f t="shared" ca="1" si="10"/>
        <v>1.6878078868204633</v>
      </c>
      <c r="H52" s="8">
        <f t="shared" ca="1" si="1"/>
        <v>1.6916092862140442</v>
      </c>
      <c r="I52" s="4">
        <f t="shared" ca="1" si="6"/>
        <v>1.4406819247493594</v>
      </c>
      <c r="J52" s="4">
        <f t="shared" si="7"/>
        <v>1.5882177358107021</v>
      </c>
      <c r="K52" s="8">
        <f t="shared" ca="1" si="2"/>
        <v>1.465774660895828</v>
      </c>
      <c r="L52" s="8">
        <f t="shared" ca="1" si="8"/>
        <v>1.6133104719571707</v>
      </c>
    </row>
    <row r="53" spans="1:12" x14ac:dyDescent="0.4">
      <c r="A53" s="5">
        <v>41</v>
      </c>
      <c r="B53" s="4">
        <f t="shared" si="3"/>
        <v>4.1000000000000005</v>
      </c>
      <c r="C53" s="4">
        <v>12</v>
      </c>
      <c r="D53" s="8">
        <f t="shared" ca="1" si="0"/>
        <v>12.075821250058164</v>
      </c>
      <c r="E53" s="4">
        <f t="shared" ca="1" si="4"/>
        <v>0.4630910791737366</v>
      </c>
      <c r="F53" s="4">
        <f t="shared" ca="1" si="10"/>
        <v>1.6590392788018009</v>
      </c>
      <c r="G53" s="4">
        <f t="shared" ca="1" si="10"/>
        <v>1.8537118147006435</v>
      </c>
      <c r="H53" s="8">
        <f t="shared" ca="1" si="1"/>
        <v>1.854923958174687</v>
      </c>
      <c r="I53" s="4">
        <f t="shared" ca="1" si="6"/>
        <v>1.6020129719450764</v>
      </c>
      <c r="J53" s="4">
        <f t="shared" si="7"/>
        <v>1.6293959622296319</v>
      </c>
      <c r="K53" s="8">
        <f t="shared" ca="1" si="2"/>
        <v>1.6273040705680375</v>
      </c>
      <c r="L53" s="8">
        <f t="shared" ca="1" si="8"/>
        <v>1.654687060852593</v>
      </c>
    </row>
    <row r="54" spans="1:12" x14ac:dyDescent="0.4">
      <c r="A54" s="5">
        <v>42</v>
      </c>
      <c r="B54" s="4">
        <f t="shared" si="3"/>
        <v>4.2</v>
      </c>
      <c r="C54" s="4">
        <v>12</v>
      </c>
      <c r="D54" s="8">
        <f t="shared" ca="1" si="0"/>
        <v>12.094752102444208</v>
      </c>
      <c r="E54" s="4">
        <f t="shared" ca="1" si="4"/>
        <v>0.4357128236424066</v>
      </c>
      <c r="F54" s="4">
        <f t="shared" ca="1" si="10"/>
        <v>1.7026105611660416</v>
      </c>
      <c r="G54" s="4">
        <f t="shared" ca="1" si="10"/>
        <v>2.0239728708172477</v>
      </c>
      <c r="H54" s="8">
        <f t="shared" ca="1" si="1"/>
        <v>2.0098822238660237</v>
      </c>
      <c r="I54" s="4">
        <f t="shared" ca="1" si="6"/>
        <v>1.7674816780303357</v>
      </c>
      <c r="J54" s="4">
        <f t="shared" si="7"/>
        <v>1.6664563660066687</v>
      </c>
      <c r="K54" s="8">
        <f t="shared" ca="1" si="2"/>
        <v>1.7917217326139045</v>
      </c>
      <c r="L54" s="8">
        <f t="shared" ca="1" si="8"/>
        <v>1.6906964205902375</v>
      </c>
    </row>
    <row r="55" spans="1:12" x14ac:dyDescent="0.4">
      <c r="A55" s="5">
        <v>43</v>
      </c>
      <c r="B55" s="4">
        <f t="shared" si="3"/>
        <v>4.3</v>
      </c>
      <c r="C55" s="4">
        <v>12</v>
      </c>
      <c r="D55" s="8">
        <f t="shared" ca="1" si="0"/>
        <v>12.019918642891062</v>
      </c>
      <c r="E55" s="4">
        <f t="shared" ca="1" si="4"/>
        <v>0.31730808172502023</v>
      </c>
      <c r="F55" s="4">
        <f t="shared" ca="1" si="10"/>
        <v>1.7343413693385437</v>
      </c>
      <c r="G55" s="4">
        <f t="shared" ca="1" si="10"/>
        <v>2.1974070077511021</v>
      </c>
      <c r="H55" s="8">
        <f t="shared" ca="1" si="1"/>
        <v>2.1944132054726149</v>
      </c>
      <c r="I55" s="4">
        <f t="shared" ca="1" si="6"/>
        <v>1.9365513200893596</v>
      </c>
      <c r="J55" s="4">
        <f t="shared" si="7"/>
        <v>1.6998107294060019</v>
      </c>
      <c r="K55" s="8">
        <f t="shared" ca="1" si="2"/>
        <v>1.9623375086276851</v>
      </c>
      <c r="L55" s="8">
        <f t="shared" ca="1" si="8"/>
        <v>1.7255969179443273</v>
      </c>
    </row>
    <row r="56" spans="1:12" x14ac:dyDescent="0.4">
      <c r="A56" s="5">
        <v>44</v>
      </c>
      <c r="B56" s="4">
        <f t="shared" si="3"/>
        <v>4.4000000000000004</v>
      </c>
      <c r="C56" s="4">
        <v>12</v>
      </c>
      <c r="D56" s="8">
        <f t="shared" ca="1" si="0"/>
        <v>12.047111796707037</v>
      </c>
      <c r="E56" s="4">
        <f t="shared" ca="1" si="4"/>
        <v>0.3127704273684937</v>
      </c>
      <c r="F56" s="4">
        <f t="shared" ca="1" si="10"/>
        <v>1.7656184120753931</v>
      </c>
      <c r="G56" s="4">
        <f t="shared" ca="1" si="10"/>
        <v>2.3739688489586412</v>
      </c>
      <c r="H56" s="8">
        <f t="shared" ca="1" si="1"/>
        <v>2.3655962127624193</v>
      </c>
      <c r="I56" s="4">
        <f t="shared" ca="1" si="6"/>
        <v>2.1091110118837921</v>
      </c>
      <c r="J56" s="4">
        <f t="shared" si="7"/>
        <v>1.7298296564654017</v>
      </c>
      <c r="K56" s="8">
        <f t="shared" ca="1" si="2"/>
        <v>2.134759531971655</v>
      </c>
      <c r="L56" s="8">
        <f t="shared" ca="1" si="8"/>
        <v>1.7554781765532643</v>
      </c>
    </row>
    <row r="57" spans="1:12" x14ac:dyDescent="0.4">
      <c r="A57" s="5">
        <v>45</v>
      </c>
      <c r="B57" s="4">
        <f t="shared" si="3"/>
        <v>4.5</v>
      </c>
      <c r="C57" s="4">
        <v>12</v>
      </c>
      <c r="D57" s="8">
        <f t="shared" ca="1" si="0"/>
        <v>12.058537833966568</v>
      </c>
      <c r="E57" s="4">
        <f t="shared" ca="1" si="4"/>
        <v>0.29291942189117504</v>
      </c>
      <c r="F57" s="4">
        <f t="shared" ca="1" si="10"/>
        <v>1.7949103542645106</v>
      </c>
      <c r="G57" s="4">
        <f t="shared" ca="1" si="10"/>
        <v>2.5534598843850924</v>
      </c>
      <c r="H57" s="8">
        <f t="shared" ca="1" si="1"/>
        <v>2.5611465757189467</v>
      </c>
      <c r="I57" s="4">
        <f t="shared" ca="1" si="6"/>
        <v>2.2846588295391186</v>
      </c>
      <c r="J57" s="4">
        <f t="shared" si="7"/>
        <v>1.7568466908188616</v>
      </c>
      <c r="K57" s="8">
        <f t="shared" ca="1" si="2"/>
        <v>2.3123076041571013</v>
      </c>
      <c r="L57" s="8">
        <f t="shared" ca="1" si="8"/>
        <v>1.7844954654368443</v>
      </c>
    </row>
    <row r="58" spans="1:12" x14ac:dyDescent="0.4">
      <c r="A58" s="5">
        <v>46</v>
      </c>
      <c r="B58" s="4">
        <f t="shared" si="3"/>
        <v>4.6000000000000005</v>
      </c>
      <c r="C58" s="4">
        <v>12</v>
      </c>
      <c r="D58" s="8">
        <f t="shared" ca="1" si="0"/>
        <v>11.966141759411416</v>
      </c>
      <c r="E58" s="4">
        <f t="shared" ca="1" si="4"/>
        <v>0.17123140514690527</v>
      </c>
      <c r="F58" s="4">
        <f t="shared" ca="1" si="10"/>
        <v>1.8120334947792012</v>
      </c>
      <c r="G58" s="4">
        <f t="shared" ca="1" si="10"/>
        <v>2.7346632338630124</v>
      </c>
      <c r="H58" s="8">
        <f t="shared" ca="1" si="1"/>
        <v>2.7350248265288752</v>
      </c>
      <c r="I58" s="4">
        <f t="shared" ca="1" si="6"/>
        <v>2.4631083760828032</v>
      </c>
      <c r="J58" s="4">
        <f t="shared" si="7"/>
        <v>1.7811620217369755</v>
      </c>
      <c r="K58" s="8">
        <f t="shared" ca="1" si="2"/>
        <v>2.4903000211274104</v>
      </c>
      <c r="L58" s="8">
        <f t="shared" ca="1" si="8"/>
        <v>1.8083536667815827</v>
      </c>
    </row>
    <row r="59" spans="1:12" x14ac:dyDescent="0.4">
      <c r="A59" s="5">
        <v>47</v>
      </c>
      <c r="B59" s="4">
        <f t="shared" si="3"/>
        <v>4.7</v>
      </c>
      <c r="C59" s="4">
        <v>12</v>
      </c>
      <c r="D59" s="8">
        <f t="shared" ca="1" si="0"/>
        <v>12.052288800308016</v>
      </c>
      <c r="E59" s="4">
        <f t="shared" ca="1" si="4"/>
        <v>0.24025530552881502</v>
      </c>
      <c r="F59" s="4">
        <f t="shared" ca="1" si="10"/>
        <v>1.8360590253320828</v>
      </c>
      <c r="G59" s="4">
        <f t="shared" ca="1" si="10"/>
        <v>2.9182691363962205</v>
      </c>
      <c r="H59" s="8">
        <f t="shared" ca="1" si="1"/>
        <v>2.906224121767663</v>
      </c>
      <c r="I59" s="4">
        <f t="shared" ca="1" si="6"/>
        <v>2.6439437427609613</v>
      </c>
      <c r="J59" s="4">
        <f t="shared" si="7"/>
        <v>1.8030458195632779</v>
      </c>
      <c r="K59" s="8">
        <f t="shared" ca="1" si="2"/>
        <v>2.6701717806616316</v>
      </c>
      <c r="L59" s="8">
        <f t="shared" ca="1" si="8"/>
        <v>1.829273857463948</v>
      </c>
    </row>
    <row r="60" spans="1:12" x14ac:dyDescent="0.4">
      <c r="A60" s="5">
        <v>48</v>
      </c>
      <c r="B60" s="4">
        <f t="shared" si="3"/>
        <v>4.8000000000000007</v>
      </c>
      <c r="C60" s="4">
        <v>12</v>
      </c>
      <c r="D60" s="8">
        <f t="shared" ca="1" si="0"/>
        <v>12.06400477654825</v>
      </c>
      <c r="E60" s="4">
        <f t="shared" ca="1" si="4"/>
        <v>0.22794575121616756</v>
      </c>
      <c r="F60" s="4">
        <f t="shared" ca="1" si="10"/>
        <v>1.8588536004536995</v>
      </c>
      <c r="G60" s="4">
        <f t="shared" ca="1" si="10"/>
        <v>3.1041544964415904</v>
      </c>
      <c r="H60" s="8">
        <f t="shared" ca="1" si="1"/>
        <v>3.1128623591934117</v>
      </c>
      <c r="I60" s="4">
        <f t="shared" ca="1" si="6"/>
        <v>2.826871128507356</v>
      </c>
      <c r="J60" s="4">
        <f t="shared" si="7"/>
        <v>1.8227412376069501</v>
      </c>
      <c r="K60" s="8">
        <f t="shared" ca="1" si="2"/>
        <v>2.8554702515759613</v>
      </c>
      <c r="L60" s="8">
        <f t="shared" ca="1" si="8"/>
        <v>1.8513403606755556</v>
      </c>
    </row>
    <row r="61" spans="1:12" x14ac:dyDescent="0.4">
      <c r="A61" s="5">
        <v>49</v>
      </c>
      <c r="B61" s="4">
        <f t="shared" si="3"/>
        <v>4.9000000000000004</v>
      </c>
      <c r="C61" s="4">
        <v>12</v>
      </c>
      <c r="D61" s="8">
        <f t="shared" ca="1" si="0"/>
        <v>11.912844276767057</v>
      </c>
      <c r="E61" s="4">
        <f t="shared" ca="1" si="4"/>
        <v>5.3990676313357522E-2</v>
      </c>
      <c r="F61" s="4">
        <f t="shared" ca="1" si="10"/>
        <v>1.8642526680850353</v>
      </c>
      <c r="G61" s="4">
        <f t="shared" ca="1" si="10"/>
        <v>3.2905797632500939</v>
      </c>
      <c r="H61" s="8">
        <f t="shared" ca="1" si="1"/>
        <v>3.3015586935882646</v>
      </c>
      <c r="I61" s="4">
        <f t="shared" ca="1" si="6"/>
        <v>3.0120051645749117</v>
      </c>
      <c r="J61" s="4">
        <f t="shared" si="7"/>
        <v>1.8404671138462549</v>
      </c>
      <c r="K61" s="8">
        <f t="shared" ca="1" si="2"/>
        <v>3.0409605174762468</v>
      </c>
      <c r="L61" s="8">
        <f t="shared" ca="1" si="8"/>
        <v>1.8694224667475903</v>
      </c>
    </row>
    <row r="62" spans="1:12" x14ac:dyDescent="0.4">
      <c r="A62" s="5">
        <v>50</v>
      </c>
      <c r="B62" s="4">
        <f t="shared" si="3"/>
        <v>5</v>
      </c>
      <c r="C62" s="4">
        <v>10</v>
      </c>
      <c r="D62" s="8">
        <f t="shared" ca="1" si="0"/>
        <v>10.031726518324813</v>
      </c>
      <c r="E62" s="4">
        <f t="shared" ca="1" si="4"/>
        <v>-1.8325261497602221</v>
      </c>
      <c r="F62" s="4">
        <f t="shared" ref="F62:G77" ca="1" si="11">F61+E62*$E$2</f>
        <v>1.681000053109013</v>
      </c>
      <c r="G62" s="4">
        <f t="shared" ca="1" si="11"/>
        <v>3.4586797685609953</v>
      </c>
      <c r="H62" s="8">
        <f t="shared" ca="1" si="1"/>
        <v>3.461683111369902</v>
      </c>
      <c r="I62" s="4">
        <f t="shared" ca="1" si="6"/>
        <v>3.1989474112496707</v>
      </c>
      <c r="J62" s="4">
        <f t="shared" si="7"/>
        <v>1.8564204024616295</v>
      </c>
      <c r="K62" s="8">
        <f t="shared" ca="1" si="2"/>
        <v>3.2252209812616939</v>
      </c>
      <c r="L62" s="8">
        <f t="shared" ca="1" si="8"/>
        <v>1.8826939724736527</v>
      </c>
    </row>
    <row r="63" spans="1:12" x14ac:dyDescent="0.4">
      <c r="A63" s="5">
        <v>51</v>
      </c>
      <c r="B63" s="4">
        <f t="shared" si="3"/>
        <v>5.1000000000000005</v>
      </c>
      <c r="C63" s="4">
        <v>10</v>
      </c>
      <c r="D63" s="8">
        <f t="shared" ca="1" si="0"/>
        <v>10.207397137375827</v>
      </c>
      <c r="E63" s="4">
        <f t="shared" ca="1" si="4"/>
        <v>-1.4736029157331865</v>
      </c>
      <c r="F63" s="4">
        <f t="shared" ca="1" si="11"/>
        <v>1.5336397615356945</v>
      </c>
      <c r="G63" s="4">
        <f t="shared" ca="1" si="11"/>
        <v>3.6120437447145646</v>
      </c>
      <c r="H63" s="8">
        <f t="shared" ca="1" si="1"/>
        <v>3.6076523944682304</v>
      </c>
      <c r="I63" s="4">
        <f t="shared" ca="1" si="6"/>
        <v>3.387216808497036</v>
      </c>
      <c r="J63" s="4">
        <f t="shared" si="7"/>
        <v>1.6707783622154666</v>
      </c>
      <c r="K63" s="8">
        <f t="shared" ca="1" si="2"/>
        <v>3.4092603670941553</v>
      </c>
      <c r="L63" s="8">
        <f t="shared" ca="1" si="8"/>
        <v>1.6928219208125861</v>
      </c>
    </row>
    <row r="64" spans="1:12" x14ac:dyDescent="0.4">
      <c r="A64" s="5">
        <v>52</v>
      </c>
      <c r="B64" s="4">
        <f t="shared" si="3"/>
        <v>5.2</v>
      </c>
      <c r="C64" s="4">
        <v>10</v>
      </c>
      <c r="D64" s="8">
        <f t="shared" ca="1" si="0"/>
        <v>9.9429558920389756</v>
      </c>
      <c r="E64" s="4">
        <f t="shared" ca="1" si="4"/>
        <v>-1.5906838694967189</v>
      </c>
      <c r="F64" s="4">
        <f t="shared" ca="1" si="11"/>
        <v>1.3745713745860226</v>
      </c>
      <c r="G64" s="4">
        <f t="shared" ca="1" si="11"/>
        <v>3.7495008821731668</v>
      </c>
      <c r="H64" s="8">
        <f t="shared" ca="1" si="1"/>
        <v>3.7414733001282681</v>
      </c>
      <c r="I64" s="4">
        <f t="shared" ca="1" si="6"/>
        <v>3.5564990005782944</v>
      </c>
      <c r="J64" s="4">
        <f t="shared" si="7"/>
        <v>1.50370052599392</v>
      </c>
      <c r="K64" s="8">
        <f t="shared" ca="1" si="2"/>
        <v>3.5749964305332917</v>
      </c>
      <c r="L64" s="8">
        <f t="shared" ca="1" si="8"/>
        <v>1.5221979559489174</v>
      </c>
    </row>
    <row r="65" spans="1:12" x14ac:dyDescent="0.4">
      <c r="A65" s="5">
        <v>53</v>
      </c>
      <c r="B65" s="4">
        <f t="shared" si="3"/>
        <v>5.3000000000000007</v>
      </c>
      <c r="C65" s="4">
        <v>10</v>
      </c>
      <c r="D65" s="8">
        <f t="shared" ca="1" si="0"/>
        <v>9.9056515101903031</v>
      </c>
      <c r="E65" s="4">
        <f t="shared" ca="1" si="4"/>
        <v>-1.4689198643957195</v>
      </c>
      <c r="F65" s="4">
        <f t="shared" ca="1" si="11"/>
        <v>1.2276793881464507</v>
      </c>
      <c r="G65" s="4">
        <f t="shared" ca="1" si="11"/>
        <v>3.872268820987812</v>
      </c>
      <c r="H65" s="8">
        <f t="shared" ca="1" si="1"/>
        <v>3.875280328839414</v>
      </c>
      <c r="I65" s="4">
        <f t="shared" ca="1" si="6"/>
        <v>3.7087187961731862</v>
      </c>
      <c r="J65" s="4">
        <f t="shared" si="7"/>
        <v>1.3533304733945279</v>
      </c>
      <c r="K65" s="8">
        <f t="shared" ca="1" si="2"/>
        <v>3.725374949439809</v>
      </c>
      <c r="L65" s="8">
        <f t="shared" ca="1" si="8"/>
        <v>1.3699866266611507</v>
      </c>
    </row>
    <row r="66" spans="1:12" x14ac:dyDescent="0.4">
      <c r="A66" s="5">
        <v>54</v>
      </c>
      <c r="B66" s="4">
        <f t="shared" si="3"/>
        <v>5.4</v>
      </c>
      <c r="C66" s="4">
        <v>10</v>
      </c>
      <c r="D66" s="8">
        <f t="shared" ca="1" si="0"/>
        <v>10.148548466895965</v>
      </c>
      <c r="E66" s="4">
        <f t="shared" ca="1" si="4"/>
        <v>-1.0791309212504854</v>
      </c>
      <c r="F66" s="4">
        <f t="shared" ca="1" si="11"/>
        <v>1.1197662960214021</v>
      </c>
      <c r="G66" s="4">
        <f t="shared" ca="1" si="11"/>
        <v>3.9842454505899521</v>
      </c>
      <c r="H66" s="8">
        <f t="shared" ca="1" si="1"/>
        <v>3.9709098102537324</v>
      </c>
      <c r="I66" s="4">
        <f t="shared" ca="1" si="6"/>
        <v>3.8457174588393013</v>
      </c>
      <c r="J66" s="4">
        <f t="shared" si="7"/>
        <v>1.2179974260550752</v>
      </c>
      <c r="K66" s="8">
        <f t="shared" ca="1" si="2"/>
        <v>3.8582366939807442</v>
      </c>
      <c r="L66" s="8">
        <f t="shared" ca="1" si="8"/>
        <v>1.2305166611965184</v>
      </c>
    </row>
    <row r="67" spans="1:12" x14ac:dyDescent="0.4">
      <c r="A67" s="5">
        <v>55</v>
      </c>
      <c r="B67" s="4">
        <f t="shared" si="3"/>
        <v>5.5</v>
      </c>
      <c r="C67" s="4">
        <v>10</v>
      </c>
      <c r="D67" s="8">
        <f t="shared" ca="1" si="0"/>
        <v>9.9631168583766101</v>
      </c>
      <c r="E67" s="4">
        <f t="shared" ca="1" si="4"/>
        <v>-1.156649437644792</v>
      </c>
      <c r="F67" s="4">
        <f t="shared" ca="1" si="11"/>
        <v>1.0041013522569229</v>
      </c>
      <c r="G67" s="4">
        <f t="shared" ca="1" si="11"/>
        <v>4.0846555858156446</v>
      </c>
      <c r="H67" s="8">
        <f t="shared" ca="1" si="1"/>
        <v>4.0838791831158865</v>
      </c>
      <c r="I67" s="4">
        <f t="shared" ca="1" si="6"/>
        <v>3.968769124958953</v>
      </c>
      <c r="J67" s="4">
        <f t="shared" si="7"/>
        <v>1.0961976834495677</v>
      </c>
      <c r="K67" s="8">
        <f t="shared" ca="1" si="2"/>
        <v>3.9802801307746463</v>
      </c>
      <c r="L67" s="8">
        <f t="shared" ca="1" si="8"/>
        <v>1.107708689265261</v>
      </c>
    </row>
    <row r="68" spans="1:12" x14ac:dyDescent="0.4">
      <c r="A68" s="5">
        <v>56</v>
      </c>
      <c r="B68" s="4">
        <f t="shared" si="3"/>
        <v>5.6000000000000005</v>
      </c>
      <c r="C68" s="4">
        <v>10</v>
      </c>
      <c r="D68" s="8">
        <f t="shared" ca="1" si="0"/>
        <v>9.9582573920800943</v>
      </c>
      <c r="E68" s="4">
        <f t="shared" ca="1" si="4"/>
        <v>-1.0458439601768286</v>
      </c>
      <c r="F68" s="4">
        <f t="shared" ca="1" si="11"/>
        <v>0.89951695623924</v>
      </c>
      <c r="G68" s="4">
        <f t="shared" ca="1" si="11"/>
        <v>4.1746072814395685</v>
      </c>
      <c r="H68" s="8">
        <f t="shared" ca="1" si="1"/>
        <v>4.1739307671909485</v>
      </c>
      <c r="I68" s="4">
        <f t="shared" ca="1" si="6"/>
        <v>4.0795399938854793</v>
      </c>
      <c r="J68" s="4">
        <f t="shared" si="7"/>
        <v>0.9865779151046109</v>
      </c>
      <c r="K68" s="8">
        <f t="shared" ca="1" si="2"/>
        <v>4.0889790712160261</v>
      </c>
      <c r="L68" s="8">
        <f t="shared" ca="1" si="8"/>
        <v>0.99601699243515784</v>
      </c>
    </row>
    <row r="69" spans="1:12" x14ac:dyDescent="0.4">
      <c r="A69" s="5">
        <v>57</v>
      </c>
      <c r="B69" s="4">
        <f t="shared" si="3"/>
        <v>5.7</v>
      </c>
      <c r="C69" s="4">
        <v>10</v>
      </c>
      <c r="D69" s="8">
        <f t="shared" ca="1" si="0"/>
        <v>10.147146649442051</v>
      </c>
      <c r="E69" s="4">
        <f t="shared" ca="1" si="4"/>
        <v>-0.75237030679718853</v>
      </c>
      <c r="F69" s="4">
        <f t="shared" ca="1" si="11"/>
        <v>0.82427992555952112</v>
      </c>
      <c r="G69" s="4">
        <f t="shared" ca="1" si="11"/>
        <v>4.2570352739955206</v>
      </c>
      <c r="H69" s="8">
        <f t="shared" ca="1" si="1"/>
        <v>4.2718682308915028</v>
      </c>
      <c r="I69" s="4">
        <f t="shared" ca="1" si="6"/>
        <v>4.1791416931289946</v>
      </c>
      <c r="J69" s="4">
        <f t="shared" si="7"/>
        <v>0.88792012359414985</v>
      </c>
      <c r="K69" s="8">
        <f t="shared" ca="1" si="2"/>
        <v>4.1884143469052457</v>
      </c>
      <c r="L69" s="8">
        <f t="shared" ca="1" si="8"/>
        <v>0.89719277737040071</v>
      </c>
    </row>
    <row r="70" spans="1:12" x14ac:dyDescent="0.4">
      <c r="A70" s="5">
        <v>58</v>
      </c>
      <c r="B70" s="4">
        <f t="shared" si="3"/>
        <v>5.8000000000000007</v>
      </c>
      <c r="C70" s="4">
        <v>10</v>
      </c>
      <c r="D70" s="8">
        <f t="shared" ca="1" si="0"/>
        <v>10.056881026773148</v>
      </c>
      <c r="E70" s="4">
        <f t="shared" ca="1" si="4"/>
        <v>-0.76739889878637324</v>
      </c>
      <c r="F70" s="4">
        <f t="shared" ca="1" si="11"/>
        <v>0.74754003568088379</v>
      </c>
      <c r="G70" s="4">
        <f t="shared" ca="1" si="11"/>
        <v>4.3317892775636091</v>
      </c>
      <c r="H70" s="8">
        <f t="shared" ca="1" si="1"/>
        <v>4.3328258747543753</v>
      </c>
      <c r="I70" s="4">
        <f t="shared" ca="1" si="6"/>
        <v>4.2688609708660348</v>
      </c>
      <c r="J70" s="4">
        <f t="shared" si="7"/>
        <v>0.79912811123473493</v>
      </c>
      <c r="K70" s="8">
        <f t="shared" ca="1" si="2"/>
        <v>4.2752574612548688</v>
      </c>
      <c r="L70" s="8">
        <f t="shared" ca="1" si="8"/>
        <v>0.80552460162356898</v>
      </c>
    </row>
    <row r="71" spans="1:12" x14ac:dyDescent="0.4">
      <c r="A71" s="5">
        <v>59</v>
      </c>
      <c r="B71" s="4">
        <f t="shared" si="3"/>
        <v>5.9</v>
      </c>
      <c r="C71" s="4">
        <v>10</v>
      </c>
      <c r="D71" s="8">
        <f t="shared" ca="1" si="0"/>
        <v>9.9706865041556316</v>
      </c>
      <c r="E71" s="4">
        <f t="shared" ca="1" si="4"/>
        <v>-0.77685353152525216</v>
      </c>
      <c r="F71" s="4">
        <f t="shared" ca="1" si="11"/>
        <v>0.66985468252835856</v>
      </c>
      <c r="G71" s="4">
        <f t="shared" ca="1" si="11"/>
        <v>4.3987747458164446</v>
      </c>
      <c r="H71" s="8">
        <f t="shared" ca="1" si="1"/>
        <v>4.4115028513874988</v>
      </c>
      <c r="I71" s="4">
        <f t="shared" ca="1" si="6"/>
        <v>4.3494134310283918</v>
      </c>
      <c r="J71" s="4">
        <f t="shared" si="7"/>
        <v>0.71921530011126145</v>
      </c>
      <c r="K71" s="8">
        <f t="shared" ca="1" si="2"/>
        <v>4.3556223730643024</v>
      </c>
      <c r="L71" s="8">
        <f t="shared" ca="1" si="8"/>
        <v>0.72542424214717216</v>
      </c>
    </row>
    <row r="72" spans="1:12" x14ac:dyDescent="0.4">
      <c r="A72" s="5">
        <v>60</v>
      </c>
      <c r="B72" s="4">
        <f t="shared" si="3"/>
        <v>6</v>
      </c>
      <c r="C72" s="4">
        <v>10</v>
      </c>
      <c r="D72" s="8">
        <f t="shared" ca="1" si="0"/>
        <v>10.180577032318096</v>
      </c>
      <c r="E72" s="4">
        <f t="shared" ca="1" si="4"/>
        <v>-0.48927765021026237</v>
      </c>
      <c r="F72" s="4">
        <f t="shared" ca="1" si="11"/>
        <v>0.62092691750733231</v>
      </c>
      <c r="G72" s="4">
        <f t="shared" ca="1" si="11"/>
        <v>4.4608674375671775</v>
      </c>
      <c r="H72" s="8">
        <f t="shared" ca="1" si="1"/>
        <v>4.4624759304829524</v>
      </c>
      <c r="I72" s="4">
        <f t="shared" ca="1" si="6"/>
        <v>4.4219558552431089</v>
      </c>
      <c r="J72" s="4">
        <f t="shared" si="7"/>
        <v>0.64729377010013533</v>
      </c>
      <c r="K72" s="8">
        <f t="shared" ca="1" si="2"/>
        <v>4.4260078627670936</v>
      </c>
      <c r="L72" s="8">
        <f t="shared" ca="1" si="8"/>
        <v>0.65134577762411972</v>
      </c>
    </row>
    <row r="73" spans="1:12" x14ac:dyDescent="0.4">
      <c r="A73" s="5">
        <v>61</v>
      </c>
      <c r="B73" s="4">
        <f t="shared" si="3"/>
        <v>6.1000000000000005</v>
      </c>
      <c r="C73" s="4">
        <v>10</v>
      </c>
      <c r="D73" s="8">
        <f t="shared" ca="1" si="0"/>
        <v>9.9522130648575562</v>
      </c>
      <c r="E73" s="4">
        <f t="shared" ca="1" si="4"/>
        <v>-0.66871385264977612</v>
      </c>
      <c r="F73" s="4">
        <f t="shared" ca="1" si="11"/>
        <v>0.55405553224235471</v>
      </c>
      <c r="G73" s="4">
        <f t="shared" ca="1" si="11"/>
        <v>4.5162729907914132</v>
      </c>
      <c r="H73" s="8">
        <f t="shared" ca="1" si="1"/>
        <v>4.5290905709055611</v>
      </c>
      <c r="I73" s="4">
        <f t="shared" ca="1" si="6"/>
        <v>4.4870904330055206</v>
      </c>
      <c r="J73" s="4">
        <f t="shared" si="7"/>
        <v>0.58256439309012187</v>
      </c>
      <c r="K73" s="8">
        <f t="shared" ca="1" si="2"/>
        <v>4.4912904467955244</v>
      </c>
      <c r="L73" s="8">
        <f t="shared" ca="1" si="8"/>
        <v>0.58676440688012588</v>
      </c>
    </row>
    <row r="74" spans="1:12" x14ac:dyDescent="0.4">
      <c r="A74" s="5">
        <v>62</v>
      </c>
      <c r="B74" s="4">
        <f t="shared" si="3"/>
        <v>6.2</v>
      </c>
      <c r="C74" s="4">
        <v>10</v>
      </c>
      <c r="D74" s="8">
        <f t="shared" ca="1" si="0"/>
        <v>9.9089827243658863</v>
      </c>
      <c r="E74" s="4">
        <f t="shared" ca="1" si="4"/>
        <v>-0.64507280787646837</v>
      </c>
      <c r="F74" s="4">
        <f t="shared" ca="1" si="11"/>
        <v>0.48954825145470787</v>
      </c>
      <c r="G74" s="4">
        <f t="shared" ca="1" si="11"/>
        <v>4.5652278159368844</v>
      </c>
      <c r="H74" s="8">
        <f t="shared" ca="1" si="1"/>
        <v>4.5572458683615888</v>
      </c>
      <c r="I74" s="4">
        <f t="shared" ca="1" si="6"/>
        <v>4.5457668736935331</v>
      </c>
      <c r="J74" s="4">
        <f t="shared" si="7"/>
        <v>0.52430795378110973</v>
      </c>
      <c r="K74" s="8">
        <f t="shared" ca="1" si="2"/>
        <v>4.5469147731603385</v>
      </c>
      <c r="L74" s="8">
        <f t="shared" ca="1" si="8"/>
        <v>0.52545585324791533</v>
      </c>
    </row>
    <row r="75" spans="1:12" x14ac:dyDescent="0.4">
      <c r="A75" s="5">
        <v>63</v>
      </c>
      <c r="B75" s="4">
        <f t="shared" si="3"/>
        <v>6.3000000000000007</v>
      </c>
      <c r="C75" s="4">
        <v>10</v>
      </c>
      <c r="D75" s="8">
        <f t="shared" ca="1" si="0"/>
        <v>9.9316426934358439</v>
      </c>
      <c r="E75" s="4">
        <f t="shared" ca="1" si="4"/>
        <v>-0.55790555801886388</v>
      </c>
      <c r="F75" s="4">
        <f t="shared" ca="1" si="11"/>
        <v>0.43375769565282146</v>
      </c>
      <c r="G75" s="4">
        <f t="shared" ca="1" si="11"/>
        <v>4.6086035855021663</v>
      </c>
      <c r="H75" s="8">
        <f t="shared" ca="1" si="1"/>
        <v>4.6097507734860255</v>
      </c>
      <c r="I75" s="4">
        <f t="shared" ca="1" si="6"/>
        <v>4.5983124590183246</v>
      </c>
      <c r="J75" s="4">
        <f t="shared" si="7"/>
        <v>0.47187715840299876</v>
      </c>
      <c r="K75" s="8">
        <f t="shared" ca="1" si="2"/>
        <v>4.5994562904650946</v>
      </c>
      <c r="L75" s="8">
        <f t="shared" ca="1" si="8"/>
        <v>0.47302098984976887</v>
      </c>
    </row>
    <row r="76" spans="1:12" x14ac:dyDescent="0.4">
      <c r="A76" s="5">
        <v>64</v>
      </c>
      <c r="B76" s="4">
        <f t="shared" si="3"/>
        <v>6.4</v>
      </c>
      <c r="C76" s="4">
        <v>10</v>
      </c>
      <c r="D76" s="8">
        <f t="shared" ca="1" si="0"/>
        <v>9.9201091710392255</v>
      </c>
      <c r="E76" s="4">
        <f t="shared" ca="1" si="4"/>
        <v>-0.513648524613596</v>
      </c>
      <c r="F76" s="4">
        <f t="shared" ca="1" si="11"/>
        <v>0.38239284319146183</v>
      </c>
      <c r="G76" s="4">
        <f t="shared" ca="1" si="11"/>
        <v>4.6468428698213122</v>
      </c>
      <c r="H76" s="8">
        <f t="shared" ref="H76:H112" ca="1" si="12">G76+IF($C$6&lt;=0,0,_xlfn.NORM.INV(RAND(),0,$C$6))</f>
        <v>4.6362504601252477</v>
      </c>
      <c r="I76" s="4">
        <f t="shared" ca="1" si="6"/>
        <v>4.6456145580033015</v>
      </c>
      <c r="J76" s="4">
        <f t="shared" si="7"/>
        <v>0.42468944256269892</v>
      </c>
      <c r="K76" s="8">
        <f t="shared" ca="1" si="2"/>
        <v>4.6446781482154957</v>
      </c>
      <c r="L76" s="8">
        <f t="shared" ca="1" si="8"/>
        <v>0.42375303277489351</v>
      </c>
    </row>
    <row r="77" spans="1:12" x14ac:dyDescent="0.4">
      <c r="A77" s="5">
        <v>65</v>
      </c>
      <c r="B77" s="4">
        <f t="shared" si="3"/>
        <v>6.5</v>
      </c>
      <c r="C77" s="4">
        <v>10</v>
      </c>
      <c r="D77" s="8">
        <f t="shared" ref="D77:D112" ca="1" si="13">C77+IF($B$6&lt;=0,0,_xlfn.NORM.INV(RAND(),0,$B$6))</f>
        <v>9.9508006749504432</v>
      </c>
      <c r="E77" s="4">
        <f t="shared" ca="1" si="4"/>
        <v>-0.43159216824101865</v>
      </c>
      <c r="F77" s="4">
        <f t="shared" ca="1" si="11"/>
        <v>0.33923362636735999</v>
      </c>
      <c r="G77" s="4">
        <f t="shared" ca="1" si="11"/>
        <v>4.6807662324580486</v>
      </c>
      <c r="H77" s="8">
        <f t="shared" ca="1" si="12"/>
        <v>4.6987586487845023</v>
      </c>
      <c r="I77" s="4">
        <f t="shared" ca="1" si="6"/>
        <v>4.6879898612807906</v>
      </c>
      <c r="J77" s="4">
        <f t="shared" si="7"/>
        <v>0.38222049830642901</v>
      </c>
      <c r="K77" s="8">
        <f t="shared" ref="K77:K112" ca="1" si="14">I77+$B$8*(H77-I77)</f>
        <v>4.6890667400311621</v>
      </c>
      <c r="L77" s="8">
        <f t="shared" ca="1" si="8"/>
        <v>0.38329737705680017</v>
      </c>
    </row>
    <row r="78" spans="1:12" x14ac:dyDescent="0.4">
      <c r="A78" s="5">
        <v>66</v>
      </c>
      <c r="B78" s="4">
        <f t="shared" ref="B78:B112" si="15">A78*$E$2</f>
        <v>6.6000000000000005</v>
      </c>
      <c r="C78" s="4">
        <v>10</v>
      </c>
      <c r="D78" s="8">
        <f t="shared" ca="1" si="13"/>
        <v>10.088868620461662</v>
      </c>
      <c r="E78" s="4">
        <f t="shared" ref="E78:E112" ca="1" si="16">(D78+$C$2+$D$2*F77)/$B$2</f>
        <v>-0.25036500590569777</v>
      </c>
      <c r="F78" s="4">
        <f t="shared" ref="F78:G93" ca="1" si="17">F77+E78*$E$2</f>
        <v>0.31419712577679021</v>
      </c>
      <c r="G78" s="4">
        <f t="shared" ca="1" si="17"/>
        <v>4.7121859450357277</v>
      </c>
      <c r="H78" s="8">
        <f t="shared" ca="1" si="12"/>
        <v>4.7204272505407037</v>
      </c>
      <c r="I78" s="4">
        <f t="shared" ref="I78:I112" ca="1" si="18">I77+L77*$E$2</f>
        <v>4.7263195989864704</v>
      </c>
      <c r="J78" s="4">
        <f t="shared" ref="J78:J112" si="19">(1+$D$2*$E$2/$B$2)*J77+$E$2*(C77+$C$2)/$B$2</f>
        <v>0.34399844847578614</v>
      </c>
      <c r="K78" s="8">
        <f t="shared" ca="1" si="14"/>
        <v>4.725730364141894</v>
      </c>
      <c r="L78" s="8">
        <f t="shared" ref="L78:L112" ca="1" si="20">J78+$C$8*(H78-I78)/$E$2</f>
        <v>0.34340921363120946</v>
      </c>
    </row>
    <row r="79" spans="1:12" x14ac:dyDescent="0.4">
      <c r="A79" s="5">
        <v>67</v>
      </c>
      <c r="B79" s="4">
        <f t="shared" si="15"/>
        <v>6.7</v>
      </c>
      <c r="C79" s="4">
        <v>10</v>
      </c>
      <c r="D79" s="8">
        <f t="shared" ca="1" si="13"/>
        <v>9.9305746090633367</v>
      </c>
      <c r="E79" s="4">
        <f t="shared" ca="1" si="16"/>
        <v>-0.38362251671345354</v>
      </c>
      <c r="F79" s="4">
        <f t="shared" ca="1" si="17"/>
        <v>0.27583487410544483</v>
      </c>
      <c r="G79" s="4">
        <f t="shared" ca="1" si="17"/>
        <v>4.7397694324462725</v>
      </c>
      <c r="H79" s="8">
        <f t="shared" ca="1" si="12"/>
        <v>4.755499151634857</v>
      </c>
      <c r="I79" s="4">
        <f t="shared" ca="1" si="18"/>
        <v>4.7606605203495915</v>
      </c>
      <c r="J79" s="4">
        <f t="shared" si="19"/>
        <v>0.30959860362820751</v>
      </c>
      <c r="K79" s="8">
        <f t="shared" ca="1" si="14"/>
        <v>4.7601443834781181</v>
      </c>
      <c r="L79" s="8">
        <f t="shared" ca="1" si="20"/>
        <v>0.30908246675673406</v>
      </c>
    </row>
    <row r="80" spans="1:12" x14ac:dyDescent="0.4">
      <c r="A80" s="5">
        <v>68</v>
      </c>
      <c r="B80" s="4">
        <f t="shared" si="15"/>
        <v>6.8000000000000007</v>
      </c>
      <c r="C80" s="4">
        <v>10</v>
      </c>
      <c r="D80" s="8">
        <f t="shared" ca="1" si="13"/>
        <v>9.9955672180813249</v>
      </c>
      <c r="E80" s="4">
        <f t="shared" ca="1" si="16"/>
        <v>-0.28026765602411996</v>
      </c>
      <c r="F80" s="4">
        <f t="shared" ca="1" si="17"/>
        <v>0.24780810850303284</v>
      </c>
      <c r="G80" s="4">
        <f t="shared" ca="1" si="17"/>
        <v>4.7645502432965756</v>
      </c>
      <c r="H80" s="8">
        <f t="shared" ca="1" si="12"/>
        <v>4.7508959122659578</v>
      </c>
      <c r="I80" s="4">
        <f t="shared" ca="1" si="18"/>
        <v>4.7915687670252654</v>
      </c>
      <c r="J80" s="4">
        <f t="shared" si="19"/>
        <v>0.27863874326538679</v>
      </c>
      <c r="K80" s="8">
        <f t="shared" ca="1" si="14"/>
        <v>4.7875014815493344</v>
      </c>
      <c r="L80" s="8">
        <f t="shared" ca="1" si="20"/>
        <v>0.27457145778945602</v>
      </c>
    </row>
    <row r="81" spans="1:12" x14ac:dyDescent="0.4">
      <c r="A81" s="5">
        <v>69</v>
      </c>
      <c r="B81" s="4">
        <f t="shared" si="15"/>
        <v>6.9</v>
      </c>
      <c r="C81" s="4">
        <v>10</v>
      </c>
      <c r="D81" s="8">
        <f t="shared" ca="1" si="13"/>
        <v>9.9160343943025708</v>
      </c>
      <c r="E81" s="4">
        <f t="shared" ca="1" si="16"/>
        <v>-0.33177371420046198</v>
      </c>
      <c r="F81" s="4">
        <f t="shared" ca="1" si="17"/>
        <v>0.21463073708298663</v>
      </c>
      <c r="G81" s="4">
        <f t="shared" ca="1" si="17"/>
        <v>4.7860133170048744</v>
      </c>
      <c r="H81" s="8">
        <f t="shared" ca="1" si="12"/>
        <v>4.7680740333563323</v>
      </c>
      <c r="I81" s="4">
        <f t="shared" ca="1" si="18"/>
        <v>4.8190259128042108</v>
      </c>
      <c r="J81" s="4">
        <f t="shared" si="19"/>
        <v>0.25077486893884809</v>
      </c>
      <c r="K81" s="8">
        <f t="shared" ca="1" si="14"/>
        <v>4.8139307248594232</v>
      </c>
      <c r="L81" s="8">
        <f t="shared" ca="1" si="20"/>
        <v>0.24567968099406023</v>
      </c>
    </row>
    <row r="82" spans="1:12" x14ac:dyDescent="0.4">
      <c r="A82" s="5">
        <v>70</v>
      </c>
      <c r="B82" s="4">
        <f t="shared" si="15"/>
        <v>7</v>
      </c>
      <c r="C82" s="4">
        <v>10</v>
      </c>
      <c r="D82" s="8">
        <f t="shared" ca="1" si="13"/>
        <v>10.032583487904512</v>
      </c>
      <c r="E82" s="4">
        <f t="shared" ca="1" si="16"/>
        <v>-0.18204724917847448</v>
      </c>
      <c r="F82" s="4">
        <f t="shared" ca="1" si="17"/>
        <v>0.19642601216513919</v>
      </c>
      <c r="G82" s="4">
        <f t="shared" ca="1" si="17"/>
        <v>4.8056559182213885</v>
      </c>
      <c r="H82" s="8">
        <f t="shared" ca="1" si="12"/>
        <v>4.8035517452325029</v>
      </c>
      <c r="I82" s="4">
        <f t="shared" ca="1" si="18"/>
        <v>4.843593880903617</v>
      </c>
      <c r="J82" s="4">
        <f t="shared" si="19"/>
        <v>0.22569738204496329</v>
      </c>
      <c r="K82" s="8">
        <f t="shared" ca="1" si="14"/>
        <v>4.8395896673365053</v>
      </c>
      <c r="L82" s="8">
        <f t="shared" ca="1" si="20"/>
        <v>0.22169316847785189</v>
      </c>
    </row>
    <row r="83" spans="1:12" x14ac:dyDescent="0.4">
      <c r="A83" s="5">
        <v>71</v>
      </c>
      <c r="B83" s="4">
        <f t="shared" si="15"/>
        <v>7.1000000000000005</v>
      </c>
      <c r="C83" s="4">
        <v>10</v>
      </c>
      <c r="D83" s="8">
        <f t="shared" ca="1" si="13"/>
        <v>10.108067866807456</v>
      </c>
      <c r="E83" s="4">
        <f t="shared" ca="1" si="16"/>
        <v>-8.8358145357683021E-2</v>
      </c>
      <c r="F83" s="4">
        <f t="shared" ca="1" si="17"/>
        <v>0.1875901976293709</v>
      </c>
      <c r="G83" s="4">
        <f t="shared" ca="1" si="17"/>
        <v>4.8244149379843257</v>
      </c>
      <c r="H83" s="8">
        <f t="shared" ca="1" si="12"/>
        <v>4.8118395528156999</v>
      </c>
      <c r="I83" s="4">
        <f t="shared" ca="1" si="18"/>
        <v>4.8657631977514022</v>
      </c>
      <c r="J83" s="4">
        <f t="shared" si="19"/>
        <v>0.20312764384046697</v>
      </c>
      <c r="K83" s="8">
        <f t="shared" ca="1" si="14"/>
        <v>4.8603708332578321</v>
      </c>
      <c r="L83" s="8">
        <f t="shared" ca="1" si="20"/>
        <v>0.19773527934689675</v>
      </c>
    </row>
    <row r="84" spans="1:12" x14ac:dyDescent="0.4">
      <c r="A84" s="5">
        <v>72</v>
      </c>
      <c r="B84" s="4">
        <f t="shared" si="15"/>
        <v>7.2</v>
      </c>
      <c r="C84" s="4">
        <v>10</v>
      </c>
      <c r="D84" s="8">
        <f t="shared" ca="1" si="13"/>
        <v>10.051070365819619</v>
      </c>
      <c r="E84" s="4">
        <f t="shared" ca="1" si="16"/>
        <v>-0.13651983180975169</v>
      </c>
      <c r="F84" s="4">
        <f t="shared" ca="1" si="17"/>
        <v>0.17393821444839574</v>
      </c>
      <c r="G84" s="4">
        <f t="shared" ca="1" si="17"/>
        <v>4.8418087594291652</v>
      </c>
      <c r="H84" s="8">
        <f t="shared" ca="1" si="12"/>
        <v>4.8428728759405777</v>
      </c>
      <c r="I84" s="4">
        <f t="shared" ca="1" si="18"/>
        <v>4.8855367256860918</v>
      </c>
      <c r="J84" s="4">
        <f t="shared" si="19"/>
        <v>0.18281487945642028</v>
      </c>
      <c r="K84" s="8">
        <f t="shared" ca="1" si="14"/>
        <v>4.8812703407115405</v>
      </c>
      <c r="L84" s="8">
        <f t="shared" ca="1" si="20"/>
        <v>0.17854849448186888</v>
      </c>
    </row>
    <row r="85" spans="1:12" x14ac:dyDescent="0.4">
      <c r="A85" s="5">
        <v>73</v>
      </c>
      <c r="B85" s="4">
        <f t="shared" si="15"/>
        <v>7.3000000000000007</v>
      </c>
      <c r="C85" s="4">
        <v>10</v>
      </c>
      <c r="D85" s="8">
        <f t="shared" ca="1" si="13"/>
        <v>9.8571394246657515</v>
      </c>
      <c r="E85" s="4">
        <f t="shared" ca="1" si="16"/>
        <v>-0.3167987897826442</v>
      </c>
      <c r="F85" s="4">
        <f t="shared" ca="1" si="17"/>
        <v>0.14225833547013134</v>
      </c>
      <c r="G85" s="4">
        <f t="shared" ca="1" si="17"/>
        <v>4.8560345929761786</v>
      </c>
      <c r="H85" s="8">
        <f t="shared" ca="1" si="12"/>
        <v>4.8537569891649923</v>
      </c>
      <c r="I85" s="4">
        <f t="shared" ca="1" si="18"/>
        <v>4.9033915751342789</v>
      </c>
      <c r="J85" s="4">
        <f t="shared" si="19"/>
        <v>0.16453339151077825</v>
      </c>
      <c r="K85" s="8">
        <f t="shared" ca="1" si="14"/>
        <v>4.8984281165373504</v>
      </c>
      <c r="L85" s="8">
        <f t="shared" ca="1" si="20"/>
        <v>0.1595699329138496</v>
      </c>
    </row>
    <row r="86" spans="1:12" x14ac:dyDescent="0.4">
      <c r="A86" s="5">
        <v>74</v>
      </c>
      <c r="B86" s="4">
        <f t="shared" si="15"/>
        <v>7.4</v>
      </c>
      <c r="C86" s="4">
        <v>10</v>
      </c>
      <c r="D86" s="8">
        <f t="shared" ca="1" si="13"/>
        <v>9.9763571614949669</v>
      </c>
      <c r="E86" s="4">
        <f t="shared" ca="1" si="16"/>
        <v>-0.16590117397516446</v>
      </c>
      <c r="F86" s="4">
        <f t="shared" ca="1" si="17"/>
        <v>0.12566821807261488</v>
      </c>
      <c r="G86" s="4">
        <f t="shared" ca="1" si="17"/>
        <v>4.8686014147834404</v>
      </c>
      <c r="H86" s="8">
        <f t="shared" ca="1" si="12"/>
        <v>4.8838437945447346</v>
      </c>
      <c r="I86" s="4">
        <f t="shared" ca="1" si="18"/>
        <v>4.9193485684256641</v>
      </c>
      <c r="J86" s="4">
        <f t="shared" si="19"/>
        <v>0.14808005235970043</v>
      </c>
      <c r="K86" s="8">
        <f t="shared" ca="1" si="14"/>
        <v>4.9157980910375709</v>
      </c>
      <c r="L86" s="8">
        <f t="shared" ca="1" si="20"/>
        <v>0.14452957497160748</v>
      </c>
    </row>
    <row r="87" spans="1:12" x14ac:dyDescent="0.4">
      <c r="A87" s="5">
        <v>75</v>
      </c>
      <c r="B87" s="4">
        <f t="shared" si="15"/>
        <v>7.5</v>
      </c>
      <c r="C87" s="4">
        <v>12</v>
      </c>
      <c r="D87" s="8">
        <f t="shared" ca="1" si="13"/>
        <v>11.906037919937203</v>
      </c>
      <c r="E87" s="4">
        <f t="shared" ca="1" si="16"/>
        <v>1.7803697018645883</v>
      </c>
      <c r="F87" s="4">
        <f t="shared" ca="1" si="17"/>
        <v>0.30370518825907372</v>
      </c>
      <c r="G87" s="4">
        <f t="shared" ca="1" si="17"/>
        <v>4.8989719336093476</v>
      </c>
      <c r="H87" s="8">
        <f t="shared" ca="1" si="12"/>
        <v>4.9041116973062691</v>
      </c>
      <c r="I87" s="4">
        <f t="shared" ca="1" si="18"/>
        <v>4.9338015259228252</v>
      </c>
      <c r="J87" s="4">
        <f t="shared" si="19"/>
        <v>0.13327204712373039</v>
      </c>
      <c r="K87" s="8">
        <f t="shared" ca="1" si="14"/>
        <v>4.9308325430611699</v>
      </c>
      <c r="L87" s="8">
        <f t="shared" ca="1" si="20"/>
        <v>0.13030306426207477</v>
      </c>
    </row>
    <row r="88" spans="1:12" x14ac:dyDescent="0.4">
      <c r="A88" s="5">
        <v>76</v>
      </c>
      <c r="B88" s="4">
        <f t="shared" si="15"/>
        <v>7.6000000000000005</v>
      </c>
      <c r="C88" s="4">
        <v>12</v>
      </c>
      <c r="D88" s="8">
        <f t="shared" ca="1" si="13"/>
        <v>12.110466588128991</v>
      </c>
      <c r="E88" s="4">
        <f t="shared" ca="1" si="16"/>
        <v>1.8067613998699177</v>
      </c>
      <c r="F88" s="4">
        <f t="shared" ca="1" si="17"/>
        <v>0.4843813282460655</v>
      </c>
      <c r="G88" s="4">
        <f t="shared" ca="1" si="17"/>
        <v>4.947410066433954</v>
      </c>
      <c r="H88" s="8">
        <f t="shared" ca="1" si="12"/>
        <v>4.9454985293769793</v>
      </c>
      <c r="I88" s="4">
        <f t="shared" ca="1" si="18"/>
        <v>4.9468318323490328</v>
      </c>
      <c r="J88" s="4">
        <f t="shared" si="19"/>
        <v>0.31994484241135734</v>
      </c>
      <c r="K88" s="8">
        <f t="shared" ca="1" si="14"/>
        <v>4.9466985020518273</v>
      </c>
      <c r="L88" s="8">
        <f t="shared" ca="1" si="20"/>
        <v>0.31981151211415199</v>
      </c>
    </row>
    <row r="89" spans="1:12" x14ac:dyDescent="0.4">
      <c r="A89" s="5">
        <v>77</v>
      </c>
      <c r="B89" s="4">
        <f t="shared" si="15"/>
        <v>7.7</v>
      </c>
      <c r="C89" s="4">
        <v>12</v>
      </c>
      <c r="D89" s="8">
        <f t="shared" ca="1" si="13"/>
        <v>12.077127463533111</v>
      </c>
      <c r="E89" s="4">
        <f t="shared" ca="1" si="16"/>
        <v>1.592746135287046</v>
      </c>
      <c r="F89" s="4">
        <f t="shared" ca="1" si="17"/>
        <v>0.64365594177477015</v>
      </c>
      <c r="G89" s="4">
        <f t="shared" ca="1" si="17"/>
        <v>5.0117756606114314</v>
      </c>
      <c r="H89" s="8">
        <f t="shared" ca="1" si="12"/>
        <v>5.0236301159333339</v>
      </c>
      <c r="I89" s="4">
        <f t="shared" ca="1" si="18"/>
        <v>4.9788129835604478</v>
      </c>
      <c r="J89" s="4">
        <f t="shared" si="19"/>
        <v>0.48795035817022164</v>
      </c>
      <c r="K89" s="8">
        <f t="shared" ca="1" si="14"/>
        <v>4.9832946967977367</v>
      </c>
      <c r="L89" s="8">
        <f t="shared" ca="1" si="20"/>
        <v>0.49243207140751027</v>
      </c>
    </row>
    <row r="90" spans="1:12" x14ac:dyDescent="0.4">
      <c r="A90" s="5">
        <v>78</v>
      </c>
      <c r="B90" s="4">
        <f t="shared" si="15"/>
        <v>7.8000000000000007</v>
      </c>
      <c r="C90" s="4">
        <v>12</v>
      </c>
      <c r="D90" s="8">
        <f t="shared" ca="1" si="13"/>
        <v>12.049479022388207</v>
      </c>
      <c r="E90" s="4">
        <f t="shared" ca="1" si="16"/>
        <v>1.4058230806134366</v>
      </c>
      <c r="F90" s="4">
        <f t="shared" ca="1" si="17"/>
        <v>0.78423824983611379</v>
      </c>
      <c r="G90" s="4">
        <f t="shared" ca="1" si="17"/>
        <v>5.0901994855950425</v>
      </c>
      <c r="H90" s="8">
        <f t="shared" ca="1" si="12"/>
        <v>5.0619443580014769</v>
      </c>
      <c r="I90" s="4">
        <f t="shared" ca="1" si="18"/>
        <v>5.0280561907011991</v>
      </c>
      <c r="J90" s="4">
        <f t="shared" si="19"/>
        <v>0.6391553223531995</v>
      </c>
      <c r="K90" s="8">
        <f t="shared" ca="1" si="14"/>
        <v>5.0314450074312269</v>
      </c>
      <c r="L90" s="8">
        <f t="shared" ca="1" si="20"/>
        <v>0.64254413908322727</v>
      </c>
    </row>
    <row r="91" spans="1:12" x14ac:dyDescent="0.4">
      <c r="A91" s="5">
        <v>79</v>
      </c>
      <c r="B91" s="4">
        <f t="shared" si="15"/>
        <v>7.9</v>
      </c>
      <c r="C91" s="4">
        <v>12</v>
      </c>
      <c r="D91" s="8">
        <f t="shared" ca="1" si="13"/>
        <v>11.903065810024634</v>
      </c>
      <c r="E91" s="4">
        <f t="shared" ca="1" si="16"/>
        <v>1.11882756018852</v>
      </c>
      <c r="F91" s="4">
        <f t="shared" ca="1" si="17"/>
        <v>0.89612100585496579</v>
      </c>
      <c r="G91" s="4">
        <f t="shared" ca="1" si="17"/>
        <v>5.1798115861805387</v>
      </c>
      <c r="H91" s="8">
        <f t="shared" ca="1" si="12"/>
        <v>5.1644372875961997</v>
      </c>
      <c r="I91" s="4">
        <f t="shared" ca="1" si="18"/>
        <v>5.0923106046095219</v>
      </c>
      <c r="J91" s="4">
        <f t="shared" si="19"/>
        <v>0.77523979011787958</v>
      </c>
      <c r="K91" s="8">
        <f t="shared" ca="1" si="14"/>
        <v>5.0995232729081899</v>
      </c>
      <c r="L91" s="8">
        <f t="shared" ca="1" si="20"/>
        <v>0.78245245841654731</v>
      </c>
    </row>
    <row r="92" spans="1:12" x14ac:dyDescent="0.4">
      <c r="A92" s="5">
        <v>80</v>
      </c>
      <c r="B92" s="4">
        <f t="shared" si="15"/>
        <v>8</v>
      </c>
      <c r="C92" s="4">
        <v>12</v>
      </c>
      <c r="D92" s="8">
        <f t="shared" ca="1" si="13"/>
        <v>11.87114662643298</v>
      </c>
      <c r="E92" s="4">
        <f t="shared" ca="1" si="16"/>
        <v>0.9750256205780139</v>
      </c>
      <c r="F92" s="4">
        <f t="shared" ca="1" si="17"/>
        <v>0.99362356791276718</v>
      </c>
      <c r="G92" s="4">
        <f t="shared" ca="1" si="17"/>
        <v>5.2791739429718154</v>
      </c>
      <c r="H92" s="8">
        <f t="shared" ca="1" si="12"/>
        <v>5.2779186021755251</v>
      </c>
      <c r="I92" s="4">
        <f t="shared" ca="1" si="18"/>
        <v>5.1705558504511764</v>
      </c>
      <c r="J92" s="4">
        <f t="shared" si="19"/>
        <v>0.89771581110609167</v>
      </c>
      <c r="K92" s="8">
        <f t="shared" ca="1" si="14"/>
        <v>5.1812921256236111</v>
      </c>
      <c r="L92" s="8">
        <f t="shared" ca="1" si="20"/>
        <v>0.90845208627852658</v>
      </c>
    </row>
    <row r="93" spans="1:12" x14ac:dyDescent="0.4">
      <c r="A93" s="5">
        <v>81</v>
      </c>
      <c r="B93" s="4">
        <f t="shared" si="15"/>
        <v>8.1</v>
      </c>
      <c r="C93" s="4">
        <v>12</v>
      </c>
      <c r="D93" s="8">
        <f t="shared" ca="1" si="13"/>
        <v>12.02258664774322</v>
      </c>
      <c r="E93" s="4">
        <f t="shared" ca="1" si="16"/>
        <v>1.0289630798304523</v>
      </c>
      <c r="F93" s="4">
        <f t="shared" ca="1" si="17"/>
        <v>1.0965198758958123</v>
      </c>
      <c r="G93" s="4">
        <f t="shared" ca="1" si="17"/>
        <v>5.3888259305613966</v>
      </c>
      <c r="H93" s="8">
        <f t="shared" ca="1" si="12"/>
        <v>5.3835818661161783</v>
      </c>
      <c r="I93" s="4">
        <f t="shared" ca="1" si="18"/>
        <v>5.261401059079029</v>
      </c>
      <c r="J93" s="4">
        <f t="shared" si="19"/>
        <v>1.0079442299954826</v>
      </c>
      <c r="K93" s="8">
        <f t="shared" ca="1" si="14"/>
        <v>5.2736191397827437</v>
      </c>
      <c r="L93" s="8">
        <f t="shared" ca="1" si="20"/>
        <v>1.0201623106991975</v>
      </c>
    </row>
    <row r="94" spans="1:12" x14ac:dyDescent="0.4">
      <c r="A94" s="5">
        <v>82</v>
      </c>
      <c r="B94" s="4">
        <f t="shared" si="15"/>
        <v>8.2000000000000011</v>
      </c>
      <c r="C94" s="4">
        <v>12</v>
      </c>
      <c r="D94" s="8">
        <f t="shared" ca="1" si="13"/>
        <v>11.879882897265004</v>
      </c>
      <c r="E94" s="4">
        <f t="shared" ca="1" si="16"/>
        <v>0.78336302136919156</v>
      </c>
      <c r="F94" s="4">
        <f t="shared" ref="F94:G109" ca="1" si="21">F93+E94*$E$2</f>
        <v>1.1748561780327316</v>
      </c>
      <c r="G94" s="4">
        <f t="shared" ca="1" si="21"/>
        <v>5.5063115483646694</v>
      </c>
      <c r="H94" s="8">
        <f t="shared" ca="1" si="12"/>
        <v>5.4982277315695161</v>
      </c>
      <c r="I94" s="4">
        <f t="shared" ca="1" si="18"/>
        <v>5.3634172901489485</v>
      </c>
      <c r="J94" s="4">
        <f t="shared" si="19"/>
        <v>1.1071498069959345</v>
      </c>
      <c r="K94" s="8">
        <f t="shared" ca="1" si="14"/>
        <v>5.3768983342910053</v>
      </c>
      <c r="L94" s="8">
        <f t="shared" ca="1" si="20"/>
        <v>1.1206308511379912</v>
      </c>
    </row>
    <row r="95" spans="1:12" x14ac:dyDescent="0.4">
      <c r="A95" s="5">
        <v>83</v>
      </c>
      <c r="B95" s="4">
        <f t="shared" si="15"/>
        <v>8.3000000000000007</v>
      </c>
      <c r="C95" s="4">
        <v>12</v>
      </c>
      <c r="D95" s="8">
        <f t="shared" ca="1" si="13"/>
        <v>11.884808648352273</v>
      </c>
      <c r="E95" s="4">
        <f t="shared" ca="1" si="16"/>
        <v>0.70995247031954123</v>
      </c>
      <c r="F95" s="4">
        <f t="shared" ca="1" si="21"/>
        <v>1.2458514250646857</v>
      </c>
      <c r="G95" s="4">
        <f t="shared" ca="1" si="21"/>
        <v>5.630896690871138</v>
      </c>
      <c r="H95" s="8">
        <f t="shared" ca="1" si="12"/>
        <v>5.6322207730318832</v>
      </c>
      <c r="I95" s="4">
        <f t="shared" ca="1" si="18"/>
        <v>5.4754803752627472</v>
      </c>
      <c r="J95" s="4">
        <f t="shared" si="19"/>
        <v>1.1964348262963411</v>
      </c>
      <c r="K95" s="8">
        <f t="shared" ca="1" si="14"/>
        <v>5.4911544150396612</v>
      </c>
      <c r="L95" s="8">
        <f t="shared" ca="1" si="20"/>
        <v>1.2121088660732546</v>
      </c>
    </row>
    <row r="96" spans="1:12" x14ac:dyDescent="0.4">
      <c r="A96" s="5">
        <v>84</v>
      </c>
      <c r="B96" s="4">
        <f t="shared" si="15"/>
        <v>8.4</v>
      </c>
      <c r="C96" s="4">
        <v>12</v>
      </c>
      <c r="D96" s="8">
        <f t="shared" ca="1" si="13"/>
        <v>12.020219158657557</v>
      </c>
      <c r="E96" s="4">
        <f t="shared" ca="1" si="16"/>
        <v>0.77436773359287159</v>
      </c>
      <c r="F96" s="4">
        <f t="shared" ca="1" si="21"/>
        <v>1.3232881984239728</v>
      </c>
      <c r="G96" s="4">
        <f t="shared" ca="1" si="21"/>
        <v>5.7632255107135348</v>
      </c>
      <c r="H96" s="8">
        <f t="shared" ca="1" si="12"/>
        <v>5.7800112628278466</v>
      </c>
      <c r="I96" s="4">
        <f t="shared" ca="1" si="18"/>
        <v>5.596691261870073</v>
      </c>
      <c r="J96" s="4">
        <f t="shared" si="19"/>
        <v>1.2767913436667071</v>
      </c>
      <c r="K96" s="8">
        <f t="shared" ca="1" si="14"/>
        <v>5.6150232619658507</v>
      </c>
      <c r="L96" s="8">
        <f t="shared" ca="1" si="20"/>
        <v>1.2951233437624845</v>
      </c>
    </row>
    <row r="97" spans="1:12" x14ac:dyDescent="0.4">
      <c r="A97" s="5">
        <v>85</v>
      </c>
      <c r="B97" s="4">
        <f t="shared" si="15"/>
        <v>8.5</v>
      </c>
      <c r="C97" s="4">
        <v>12</v>
      </c>
      <c r="D97" s="8">
        <f t="shared" ca="1" si="13"/>
        <v>12.016349733501128</v>
      </c>
      <c r="E97" s="4">
        <f t="shared" ca="1" si="16"/>
        <v>0.6930615350771554</v>
      </c>
      <c r="F97" s="4">
        <f t="shared" ca="1" si="21"/>
        <v>1.3925943519316883</v>
      </c>
      <c r="G97" s="4">
        <f t="shared" ca="1" si="21"/>
        <v>5.9024849459067035</v>
      </c>
      <c r="H97" s="8">
        <f t="shared" ca="1" si="12"/>
        <v>5.9061200543969585</v>
      </c>
      <c r="I97" s="4">
        <f t="shared" ca="1" si="18"/>
        <v>5.7262035962463216</v>
      </c>
      <c r="J97" s="4">
        <f t="shared" si="19"/>
        <v>1.3491122093000363</v>
      </c>
      <c r="K97" s="8">
        <f t="shared" ca="1" si="14"/>
        <v>5.7441952420613855</v>
      </c>
      <c r="L97" s="8">
        <f t="shared" ca="1" si="20"/>
        <v>1.3671038551151</v>
      </c>
    </row>
    <row r="98" spans="1:12" x14ac:dyDescent="0.4">
      <c r="A98" s="5">
        <v>86</v>
      </c>
      <c r="B98" s="4">
        <f t="shared" si="15"/>
        <v>8.6</v>
      </c>
      <c r="C98" s="4">
        <v>12</v>
      </c>
      <c r="D98" s="8">
        <f t="shared" ca="1" si="13"/>
        <v>11.890648641818681</v>
      </c>
      <c r="E98" s="4">
        <f t="shared" ca="1" si="16"/>
        <v>0.49805428988699219</v>
      </c>
      <c r="F98" s="4">
        <f t="shared" ca="1" si="21"/>
        <v>1.4423997809203875</v>
      </c>
      <c r="G98" s="4">
        <f t="shared" ca="1" si="21"/>
        <v>6.0467249239987426</v>
      </c>
      <c r="H98" s="8">
        <f t="shared" ca="1" si="12"/>
        <v>6.0408620767581658</v>
      </c>
      <c r="I98" s="4">
        <f t="shared" ca="1" si="18"/>
        <v>5.8629139817578313</v>
      </c>
      <c r="J98" s="4">
        <f t="shared" si="19"/>
        <v>1.4142009883700326</v>
      </c>
      <c r="K98" s="8">
        <f t="shared" ca="1" si="14"/>
        <v>5.8807087912578648</v>
      </c>
      <c r="L98" s="8">
        <f t="shared" ca="1" si="20"/>
        <v>1.4319957978700661</v>
      </c>
    </row>
    <row r="99" spans="1:12" x14ac:dyDescent="0.4">
      <c r="A99" s="5">
        <v>87</v>
      </c>
      <c r="B99" s="4">
        <f t="shared" si="15"/>
        <v>8.7000000000000011</v>
      </c>
      <c r="C99" s="4">
        <v>12</v>
      </c>
      <c r="D99" s="8">
        <f t="shared" ca="1" si="13"/>
        <v>12.164355370108835</v>
      </c>
      <c r="E99" s="4">
        <f t="shared" ca="1" si="16"/>
        <v>0.72195558918844727</v>
      </c>
      <c r="F99" s="4">
        <f t="shared" ca="1" si="21"/>
        <v>1.5145953398392322</v>
      </c>
      <c r="G99" s="4">
        <f t="shared" ca="1" si="21"/>
        <v>6.1981844579826655</v>
      </c>
      <c r="H99" s="8">
        <f t="shared" ca="1" si="12"/>
        <v>6.227363477480977</v>
      </c>
      <c r="I99" s="4">
        <f t="shared" ca="1" si="18"/>
        <v>6.0061135615448382</v>
      </c>
      <c r="J99" s="4">
        <f t="shared" si="19"/>
        <v>1.4727808895330294</v>
      </c>
      <c r="K99" s="8">
        <f t="shared" ca="1" si="14"/>
        <v>6.0282385531384524</v>
      </c>
      <c r="L99" s="8">
        <f t="shared" ca="1" si="20"/>
        <v>1.4949058811266434</v>
      </c>
    </row>
    <row r="100" spans="1:12" x14ac:dyDescent="0.4">
      <c r="A100" s="5">
        <v>88</v>
      </c>
      <c r="B100" s="4">
        <f t="shared" si="15"/>
        <v>8.8000000000000007</v>
      </c>
      <c r="C100" s="4">
        <v>12</v>
      </c>
      <c r="D100" s="8">
        <f t="shared" ca="1" si="13"/>
        <v>11.986641658523716</v>
      </c>
      <c r="E100" s="4">
        <f t="shared" ca="1" si="16"/>
        <v>0.47204631868448388</v>
      </c>
      <c r="F100" s="4">
        <f t="shared" ca="1" si="21"/>
        <v>1.5617999717076807</v>
      </c>
      <c r="G100" s="4">
        <f t="shared" ca="1" si="21"/>
        <v>6.3543644551534335</v>
      </c>
      <c r="H100" s="8">
        <f t="shared" ca="1" si="12"/>
        <v>6.3526881220976081</v>
      </c>
      <c r="I100" s="4">
        <f t="shared" ca="1" si="18"/>
        <v>6.1556041496575027</v>
      </c>
      <c r="J100" s="4">
        <f t="shared" si="19"/>
        <v>1.5255028005797264</v>
      </c>
      <c r="K100" s="8">
        <f t="shared" ca="1" si="14"/>
        <v>6.1753125469015133</v>
      </c>
      <c r="L100" s="8">
        <f t="shared" ca="1" si="20"/>
        <v>1.5452111978237371</v>
      </c>
    </row>
    <row r="101" spans="1:12" x14ac:dyDescent="0.4">
      <c r="A101" s="5">
        <v>89</v>
      </c>
      <c r="B101" s="4">
        <f t="shared" si="15"/>
        <v>8.9</v>
      </c>
      <c r="C101" s="4">
        <v>12</v>
      </c>
      <c r="D101" s="8">
        <f t="shared" ca="1" si="13"/>
        <v>11.917315042809877</v>
      </c>
      <c r="E101" s="4">
        <f t="shared" ca="1" si="16"/>
        <v>0.35551507110219616</v>
      </c>
      <c r="F101" s="4">
        <f t="shared" ca="1" si="21"/>
        <v>1.5973514788179004</v>
      </c>
      <c r="G101" s="4">
        <f t="shared" ca="1" si="21"/>
        <v>6.5140996030352234</v>
      </c>
      <c r="H101" s="8">
        <f t="shared" ca="1" si="12"/>
        <v>6.5140461700535672</v>
      </c>
      <c r="I101" s="4">
        <f t="shared" ca="1" si="18"/>
        <v>6.310125269439876</v>
      </c>
      <c r="J101" s="4">
        <f t="shared" si="19"/>
        <v>1.5729525205217538</v>
      </c>
      <c r="K101" s="8">
        <f t="shared" ca="1" si="14"/>
        <v>6.3305173595012452</v>
      </c>
      <c r="L101" s="8">
        <f t="shared" ca="1" si="20"/>
        <v>1.593344610583123</v>
      </c>
    </row>
    <row r="102" spans="1:12" x14ac:dyDescent="0.4">
      <c r="A102" s="5">
        <v>90</v>
      </c>
      <c r="B102" s="4">
        <f t="shared" si="15"/>
        <v>9</v>
      </c>
      <c r="C102" s="4">
        <v>12</v>
      </c>
      <c r="D102" s="8">
        <f t="shared" ca="1" si="13"/>
        <v>12.036344286633634</v>
      </c>
      <c r="E102" s="4">
        <f t="shared" ca="1" si="16"/>
        <v>0.43899280781573347</v>
      </c>
      <c r="F102" s="4">
        <f t="shared" ca="1" si="21"/>
        <v>1.6412507595994739</v>
      </c>
      <c r="G102" s="4">
        <f t="shared" ca="1" si="21"/>
        <v>6.6782246789951705</v>
      </c>
      <c r="H102" s="8">
        <f t="shared" ca="1" si="12"/>
        <v>6.6800539092942266</v>
      </c>
      <c r="I102" s="4">
        <f t="shared" ca="1" si="18"/>
        <v>6.4694597304981887</v>
      </c>
      <c r="J102" s="4">
        <f t="shared" si="19"/>
        <v>1.6156572684695785</v>
      </c>
      <c r="K102" s="8">
        <f t="shared" ca="1" si="14"/>
        <v>6.4905191483777926</v>
      </c>
      <c r="L102" s="8">
        <f t="shared" ca="1" si="20"/>
        <v>1.6367166863491822</v>
      </c>
    </row>
    <row r="103" spans="1:12" x14ac:dyDescent="0.4">
      <c r="A103" s="5">
        <v>91</v>
      </c>
      <c r="B103" s="4">
        <f t="shared" si="15"/>
        <v>9.1</v>
      </c>
      <c r="C103" s="4">
        <v>12</v>
      </c>
      <c r="D103" s="8">
        <f t="shared" ca="1" si="13"/>
        <v>11.856076145174709</v>
      </c>
      <c r="E103" s="4">
        <f t="shared" ca="1" si="16"/>
        <v>0.21482538557523556</v>
      </c>
      <c r="F103" s="4">
        <f t="shared" ca="1" si="21"/>
        <v>1.6627332981569973</v>
      </c>
      <c r="G103" s="4">
        <f t="shared" ca="1" si="21"/>
        <v>6.84449800881087</v>
      </c>
      <c r="H103" s="8">
        <f t="shared" ca="1" si="12"/>
        <v>6.8397488168992027</v>
      </c>
      <c r="I103" s="4">
        <f t="shared" ca="1" si="18"/>
        <v>6.6331313991331067</v>
      </c>
      <c r="J103" s="4">
        <f t="shared" si="19"/>
        <v>1.6540915416226205</v>
      </c>
      <c r="K103" s="8">
        <f t="shared" ca="1" si="14"/>
        <v>6.6537931409097162</v>
      </c>
      <c r="L103" s="8">
        <f t="shared" ca="1" si="20"/>
        <v>1.67475328339923</v>
      </c>
    </row>
    <row r="104" spans="1:12" x14ac:dyDescent="0.4">
      <c r="A104" s="5">
        <v>92</v>
      </c>
      <c r="B104" s="4">
        <f t="shared" si="15"/>
        <v>9.2000000000000011</v>
      </c>
      <c r="C104" s="4">
        <v>12</v>
      </c>
      <c r="D104" s="8">
        <f t="shared" ca="1" si="13"/>
        <v>11.941748045031849</v>
      </c>
      <c r="E104" s="4">
        <f t="shared" ca="1" si="16"/>
        <v>0.27901474687485162</v>
      </c>
      <c r="F104" s="4">
        <f t="shared" ca="1" si="21"/>
        <v>1.6906347728444824</v>
      </c>
      <c r="G104" s="4">
        <f t="shared" ca="1" si="21"/>
        <v>7.0135614860953179</v>
      </c>
      <c r="H104" s="8">
        <f t="shared" ca="1" si="12"/>
        <v>7.0398401543932989</v>
      </c>
      <c r="I104" s="4">
        <f t="shared" ca="1" si="18"/>
        <v>6.8006067274730295</v>
      </c>
      <c r="J104" s="4">
        <f t="shared" si="19"/>
        <v>1.6886823874603585</v>
      </c>
      <c r="K104" s="8">
        <f t="shared" ca="1" si="14"/>
        <v>6.8245300701650562</v>
      </c>
      <c r="L104" s="8">
        <f t="shared" ca="1" si="20"/>
        <v>1.7126057301523854</v>
      </c>
    </row>
    <row r="105" spans="1:12" x14ac:dyDescent="0.4">
      <c r="A105" s="5">
        <v>93</v>
      </c>
      <c r="B105" s="4">
        <f t="shared" si="15"/>
        <v>9.3000000000000007</v>
      </c>
      <c r="C105" s="4">
        <v>12</v>
      </c>
      <c r="D105" s="8">
        <f t="shared" ca="1" si="13"/>
        <v>12.032661709009416</v>
      </c>
      <c r="E105" s="4">
        <f t="shared" ca="1" si="16"/>
        <v>0.34202693616493329</v>
      </c>
      <c r="F105" s="4">
        <f t="shared" ca="1" si="21"/>
        <v>1.7248374664609758</v>
      </c>
      <c r="G105" s="4">
        <f t="shared" ca="1" si="21"/>
        <v>7.1860452327414155</v>
      </c>
      <c r="H105" s="8">
        <f t="shared" ca="1" si="12"/>
        <v>7.19463483369426</v>
      </c>
      <c r="I105" s="4">
        <f t="shared" ca="1" si="18"/>
        <v>6.9718673004882685</v>
      </c>
      <c r="J105" s="4">
        <f t="shared" si="19"/>
        <v>1.7198141487143226</v>
      </c>
      <c r="K105" s="8">
        <f t="shared" ca="1" si="14"/>
        <v>6.9941440538088679</v>
      </c>
      <c r="L105" s="8">
        <f t="shared" ca="1" si="20"/>
        <v>1.7420909020349218</v>
      </c>
    </row>
    <row r="106" spans="1:12" x14ac:dyDescent="0.4">
      <c r="A106" s="5">
        <v>94</v>
      </c>
      <c r="B106" s="4">
        <f t="shared" si="15"/>
        <v>9.4</v>
      </c>
      <c r="C106" s="4">
        <v>12</v>
      </c>
      <c r="D106" s="8">
        <f t="shared" ca="1" si="13"/>
        <v>11.792169101134858</v>
      </c>
      <c r="E106" s="4">
        <f t="shared" ca="1" si="16"/>
        <v>6.7331634673882368E-2</v>
      </c>
      <c r="F106" s="4">
        <f t="shared" ca="1" si="21"/>
        <v>1.731570629928364</v>
      </c>
      <c r="G106" s="4">
        <f t="shared" ca="1" si="21"/>
        <v>7.359202295734252</v>
      </c>
      <c r="H106" s="8">
        <f t="shared" ca="1" si="12"/>
        <v>7.3694315579486336</v>
      </c>
      <c r="I106" s="4">
        <f t="shared" ca="1" si="18"/>
        <v>7.1460763906917606</v>
      </c>
      <c r="J106" s="4">
        <f t="shared" si="19"/>
        <v>1.7478327338428903</v>
      </c>
      <c r="K106" s="8">
        <f t="shared" ca="1" si="14"/>
        <v>7.1684119074174477</v>
      </c>
      <c r="L106" s="8">
        <f t="shared" ca="1" si="20"/>
        <v>1.7701682505685776</v>
      </c>
    </row>
    <row r="107" spans="1:12" x14ac:dyDescent="0.4">
      <c r="A107" s="5">
        <v>95</v>
      </c>
      <c r="B107" s="4">
        <f t="shared" si="15"/>
        <v>9.5</v>
      </c>
      <c r="C107" s="4">
        <v>12</v>
      </c>
      <c r="D107" s="8">
        <f t="shared" ca="1" si="13"/>
        <v>12.020150194735928</v>
      </c>
      <c r="E107" s="4">
        <f t="shared" ca="1" si="16"/>
        <v>0.28857956480756397</v>
      </c>
      <c r="F107" s="4">
        <f t="shared" ca="1" si="21"/>
        <v>1.7604285864091205</v>
      </c>
      <c r="G107" s="4">
        <f t="shared" ca="1" si="21"/>
        <v>7.535245154375164</v>
      </c>
      <c r="H107" s="8">
        <f t="shared" ca="1" si="12"/>
        <v>7.5556585243573853</v>
      </c>
      <c r="I107" s="4">
        <f t="shared" ca="1" si="18"/>
        <v>7.3230932157486182</v>
      </c>
      <c r="J107" s="4">
        <f t="shared" si="19"/>
        <v>1.7730494604586013</v>
      </c>
      <c r="K107" s="8">
        <f t="shared" ca="1" si="14"/>
        <v>7.3463497466094951</v>
      </c>
      <c r="L107" s="8">
        <f t="shared" ca="1" si="20"/>
        <v>1.7963059913194781</v>
      </c>
    </row>
    <row r="108" spans="1:12" x14ac:dyDescent="0.4">
      <c r="A108" s="5">
        <v>96</v>
      </c>
      <c r="B108" s="4">
        <f t="shared" si="15"/>
        <v>9.6000000000000014</v>
      </c>
      <c r="C108" s="4">
        <v>12</v>
      </c>
      <c r="D108" s="8">
        <f t="shared" ca="1" si="13"/>
        <v>12.011627470548262</v>
      </c>
      <c r="E108" s="4">
        <f t="shared" ca="1" si="16"/>
        <v>0.25119888413914193</v>
      </c>
      <c r="F108" s="4">
        <f t="shared" ca="1" si="21"/>
        <v>1.7855484748230346</v>
      </c>
      <c r="G108" s="4">
        <f t="shared" ca="1" si="21"/>
        <v>7.7138000018574671</v>
      </c>
      <c r="H108" s="8">
        <f t="shared" ca="1" si="12"/>
        <v>7.7146702816618911</v>
      </c>
      <c r="I108" s="4">
        <f t="shared" ca="1" si="18"/>
        <v>7.5027238148805662</v>
      </c>
      <c r="J108" s="4">
        <f t="shared" si="19"/>
        <v>1.7957445144127413</v>
      </c>
      <c r="K108" s="8">
        <f t="shared" ca="1" si="14"/>
        <v>7.5239184615586989</v>
      </c>
      <c r="L108" s="8">
        <f t="shared" ca="1" si="20"/>
        <v>1.8169391610908738</v>
      </c>
    </row>
    <row r="109" spans="1:12" x14ac:dyDescent="0.4">
      <c r="A109" s="5">
        <v>97</v>
      </c>
      <c r="B109" s="4">
        <f t="shared" si="15"/>
        <v>9.7000000000000011</v>
      </c>
      <c r="C109" s="4">
        <v>12</v>
      </c>
      <c r="D109" s="8">
        <f t="shared" ca="1" si="13"/>
        <v>11.986941917891915</v>
      </c>
      <c r="E109" s="4">
        <f t="shared" ca="1" si="16"/>
        <v>0.20139344306888063</v>
      </c>
      <c r="F109" s="4">
        <f t="shared" ca="1" si="21"/>
        <v>1.8056878191299226</v>
      </c>
      <c r="G109" s="4">
        <f t="shared" ca="1" si="21"/>
        <v>7.8943687837704593</v>
      </c>
      <c r="H109" s="8">
        <f t="shared" ca="1" si="12"/>
        <v>7.9049826314336755</v>
      </c>
      <c r="I109" s="4">
        <f t="shared" ca="1" si="18"/>
        <v>7.6844177309896535</v>
      </c>
      <c r="J109" s="4">
        <f t="shared" si="19"/>
        <v>1.8161700629714672</v>
      </c>
      <c r="K109" s="8">
        <f t="shared" ca="1" si="14"/>
        <v>7.706474221034056</v>
      </c>
      <c r="L109" s="8">
        <f t="shared" ca="1" si="20"/>
        <v>1.8382265530158695</v>
      </c>
    </row>
    <row r="110" spans="1:12" x14ac:dyDescent="0.4">
      <c r="A110" s="5">
        <v>98</v>
      </c>
      <c r="B110" s="4">
        <f t="shared" si="15"/>
        <v>9.8000000000000007</v>
      </c>
      <c r="C110" s="4">
        <v>12</v>
      </c>
      <c r="D110" s="8">
        <f t="shared" ca="1" si="13"/>
        <v>12.129416908768546</v>
      </c>
      <c r="E110" s="4">
        <f t="shared" ca="1" si="16"/>
        <v>0.32372908963862312</v>
      </c>
      <c r="F110" s="4">
        <f t="shared" ref="F110:G112" ca="1" si="22">F109+E110*$E$2</f>
        <v>1.8380607280937848</v>
      </c>
      <c r="G110" s="4">
        <f t="shared" ca="1" si="22"/>
        <v>8.078174856579837</v>
      </c>
      <c r="H110" s="8">
        <f t="shared" ca="1" si="12"/>
        <v>8.0580793929726973</v>
      </c>
      <c r="I110" s="4">
        <f t="shared" ca="1" si="18"/>
        <v>7.8682403862912409</v>
      </c>
      <c r="J110" s="4">
        <f t="shared" si="19"/>
        <v>1.8345530566743204</v>
      </c>
      <c r="K110" s="8">
        <f t="shared" ca="1" si="14"/>
        <v>7.8872242869593867</v>
      </c>
      <c r="L110" s="8">
        <f t="shared" ca="1" si="20"/>
        <v>1.853536957342466</v>
      </c>
    </row>
    <row r="111" spans="1:12" x14ac:dyDescent="0.4">
      <c r="A111" s="5">
        <v>99</v>
      </c>
      <c r="B111" s="4">
        <f t="shared" si="15"/>
        <v>9.9</v>
      </c>
      <c r="C111" s="4">
        <v>12</v>
      </c>
      <c r="D111" s="8">
        <f t="shared" ca="1" si="13"/>
        <v>12.043609295819005</v>
      </c>
      <c r="E111" s="4">
        <f t="shared" ca="1" si="16"/>
        <v>0.20554856772522001</v>
      </c>
      <c r="F111" s="4">
        <f t="shared" ca="1" si="22"/>
        <v>1.8586155848663068</v>
      </c>
      <c r="G111" s="4">
        <f t="shared" ca="1" si="22"/>
        <v>8.2640364150664674</v>
      </c>
      <c r="H111" s="8">
        <f t="shared" ca="1" si="12"/>
        <v>8.2783682025629499</v>
      </c>
      <c r="I111" s="4">
        <f t="shared" ca="1" si="18"/>
        <v>8.0535940820254872</v>
      </c>
      <c r="J111" s="4">
        <f t="shared" si="19"/>
        <v>1.8510977510068884</v>
      </c>
      <c r="K111" s="8">
        <f t="shared" ca="1" si="14"/>
        <v>8.0760714940792333</v>
      </c>
      <c r="L111" s="8">
        <f t="shared" ca="1" si="20"/>
        <v>1.8735751630606348</v>
      </c>
    </row>
    <row r="112" spans="1:12" x14ac:dyDescent="0.4">
      <c r="A112" s="5">
        <v>100</v>
      </c>
      <c r="B112" s="4">
        <f t="shared" si="15"/>
        <v>10</v>
      </c>
      <c r="C112" s="4">
        <v>12</v>
      </c>
      <c r="D112" s="8">
        <f t="shared" ca="1" si="13"/>
        <v>12.002271130858521</v>
      </c>
      <c r="E112" s="4">
        <f t="shared" ca="1" si="16"/>
        <v>0.14365554599221397</v>
      </c>
      <c r="F112" s="4">
        <f t="shared" ca="1" si="22"/>
        <v>1.8729811394655282</v>
      </c>
      <c r="G112" s="4">
        <f t="shared" ca="1" si="22"/>
        <v>8.4513345290130211</v>
      </c>
      <c r="H112" s="8">
        <f t="shared" ca="1" si="12"/>
        <v>8.4653202628722983</v>
      </c>
      <c r="I112" s="4">
        <f t="shared" ca="1" si="18"/>
        <v>8.2409515983315504</v>
      </c>
      <c r="J112" s="4">
        <f t="shared" si="19"/>
        <v>1.8659879759061997</v>
      </c>
      <c r="K112" s="8">
        <f t="shared" ca="1" si="14"/>
        <v>8.2633884647856259</v>
      </c>
      <c r="L112" s="8">
        <f t="shared" ca="1" si="20"/>
        <v>1.8884248423602745</v>
      </c>
    </row>
    <row r="113" spans="8:8" x14ac:dyDescent="0.4">
      <c r="H113" s="8"/>
    </row>
  </sheetData>
  <mergeCells count="4">
    <mergeCell ref="A1:A2"/>
    <mergeCell ref="A3:A4"/>
    <mergeCell ref="A5:A6"/>
    <mergeCell ref="A7:A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恒力</vt:lpstr>
      <vt:lpstr>正弦力</vt:lpstr>
      <vt:lpstr>方波力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2023-07-01T10:34:14Z</dcterms:created>
  <dcterms:modified xsi:type="dcterms:W3CDTF">2026-03-03T06:12:39Z</dcterms:modified>
</cp:coreProperties>
</file>